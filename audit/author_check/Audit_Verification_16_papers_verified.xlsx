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MEN\Desktop\IIOT-Dataset\1- NEW ARTICLE- fed-ids-evaluation\repo_part1_core\fed-ids-evaluation\audit\author_check\"/>
    </mc:Choice>
  </mc:AlternateContent>
  <xr:revisionPtr revIDLastSave="0" documentId="13_ncr:1_{76301BB5-71D7-4A68-92AE-469A4131A258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Guide" sheetId="1" state="hidden" r:id="rId1"/>
    <sheet name="Papers" sheetId="2" r:id="rId2"/>
    <sheet name="Verif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4" i="3" l="1"/>
  <c r="G183" i="3"/>
  <c r="G182" i="3"/>
  <c r="G181" i="3"/>
</calcChain>
</file>

<file path=xl/sharedStrings.xml><?xml version="1.0" encoding="utf-8"?>
<sst xmlns="http://schemas.openxmlformats.org/spreadsheetml/2006/main" count="1514" uniqueCount="345">
  <si>
    <t>راهنمای تأیید کدگذاری ممیزی (۱۶ مقاله‌ی باقی‌مانده)</t>
  </si>
  <si>
    <t>کار شما: برای هر مقاله، ۱۱ ردیف در برگه‌ی Verify هست. هر ردیف یک سؤال (A1 تا A11)، کدی که داده شده، و شاهد آن (نقل‌قول یا شماره‌ی بخش/جدول) را دارد.</t>
  </si>
  <si>
    <t>۱. مقاله را از برگه‌ی Papers دانلود کنید (ستون DOI link؛ اگر باز نشد، ستون Alternative link).</t>
  </si>
  <si>
    <t>۲. برای هر ردیف، بخش یا جمله‌ی گفته‌شده در ستون Evidence را در PDF پیدا کنید (Ctrl+F با چند کلمه از نقل‌قول).</t>
  </si>
  <si>
    <t>۳. در ستون زرد «Your check» یکی را انتخاب کنید:</t>
  </si>
  <si>
    <t xml:space="preserve">    Correct = شاهد در مقاله هست و کد با تعریف سؤال جور است.</t>
  </si>
  <si>
    <t xml:space="preserve">    Wrong = شاهد هست ولی کد غلط است ← در ستون «Your code» کد درست را از گزینه‌های ستون Options بنویسید.</t>
  </si>
  <si>
    <t xml:space="preserve">    Not found = جمله یا بخش گفته‌شده را در مقاله پیدا نکردید.</t>
  </si>
  <si>
    <t>۴. اگر توضیحی دارید، در ستون Comment بنویسید (فارسی یا انگلیسی).</t>
  </si>
  <si>
    <t>نکته‌های مهم:</t>
  </si>
  <si>
    <t>• «not_reported» یعنی مقاله درباره‌ی آن موضوع چیزی نگفته است؛ اگر جایی گفته و ما ندیده‌ایم، Wrong بزنید و محل آن را در Comment بنویسید.</t>
  </si>
  <si>
    <t>• برای کدهای «no» یا «not_reported»، کافی است بخش روش و آزمایش‌ها را نگاه کنید و ببینید واقعاً چیزی نیامده است.</t>
  </si>
  <si>
    <t>• A2 فقط وقتی «yes» است که مدل پنجره یا دنباله بسازد و تقسیم تصادفی روی همان دنباله‌ها انجام شود.</t>
  </si>
  <si>
    <t>• A8: اگر کلاینت‌ها به‌طور طبیعی جدا شده‌اند (مثلاً هر دستگاه یک کلاینت) و پارتیشن non-IID ساخته نشده، کد «no» است.</t>
  </si>
  <si>
    <t>• A5 «copied» یعنی بخشی از عددهای baseline از مقاله‌های دیگر نقل شده است.</t>
  </si>
  <si>
    <t>• A6: طبق پروتکل، اگر حتی یک جدول مقایسه عددهای مقاله‌های دیگر را نقل کرده باشد، کد «copied» است، حتی اگر baselineهای دیگر را خود نویسندگان اجرا کرده باشند.</t>
  </si>
  <si>
    <t>• اگر مقاله‌ای باز نشد، در Comment بنویسید «could not open» و ستون Your check را خالی بگذارید. C08 از نسخه‌ای خوانده شده که نویسندگانش فرستاده‌اند (همان PDF که قبلاً داشتید).</t>
  </si>
  <si>
    <t>• لطفاً توضیح هر ردیف را در همان ردیف بنویسید؛ اگر توضیحی ندارید، Comment را خالی بگذارید.</t>
  </si>
  <si>
    <t>زمان تقریبی: ۱۰ تا ۱۵ دقیقه برای هر مقاله (حدود ۳ تا ۴ ساعت برای ۱۶ مقاله). لطفاً به هیچ ستون دیگری دست نزنید و فایل پرشده را برگردانید.</t>
  </si>
  <si>
    <t>ID</t>
  </si>
  <si>
    <t>Citation</t>
  </si>
  <si>
    <t>DOI link</t>
  </si>
  <si>
    <t>Alternative link (where it was read)</t>
  </si>
  <si>
    <t>C01</t>
  </si>
  <si>
    <t>Lazzarini R, Tianfield H, Charissis V. Federated learning for IoT intrusion detection. AI 4(3):509-530, 2023. doi:10.3390/ai4030028</t>
  </si>
  <si>
    <t>https://doi.org/10.3390/ai4030028</t>
  </si>
  <si>
    <t>https://researchonline.gcu.ac.uk/ws/portalfiles/portal/77359126/77089336.pdf</t>
  </si>
  <si>
    <t>C02</t>
  </si>
  <si>
    <t>Belarbi O, Spyridopoulos T, Anthi E, Mavromatis I, Carnelli P, Khan A. Federated deep learning for intrusion detection in IoT networks. IEEE GLOBECOM 2023, pp. 237-242. doi:10.1109/GLOBECOM54140.2023.10437860</t>
  </si>
  <si>
    <t>https://doi.org/10.1109/GLOBECOM54140.2023.10437860</t>
  </si>
  <si>
    <t>https://orca.cardiff.ac.uk/id/eprint/166936/1/Federated_Deep_Learning_for_Intrusion_Detection_in_IoT_Networks.pdf</t>
  </si>
  <si>
    <t>C03</t>
  </si>
  <si>
    <t>Karunamurthy A, Vijayan K, Kshirsagar PR, Tan KT. An optimal federated learning-based intrusion detection for IoT environment. Scientific Reports 15:8696, 2025. doi:10.1038/s41598-025-93501-8</t>
  </si>
  <si>
    <t>https://doi.org/10.1038/s41598-025-93501-8</t>
  </si>
  <si>
    <t>https://www.nature.com/articles/s41598-025-93501-8</t>
  </si>
  <si>
    <t>C05</t>
  </si>
  <si>
    <t>Anwer RW, Abrar M, Ullah M, Salam A, Ullah F. Advanced intrusion detection in the industrial Internet of Things using federated learning and LSTM models. Ad Hoc Networks 178:103991, 2025. doi:10.1016/j.adhoc.2025.103991</t>
  </si>
  <si>
    <t>https://doi.org/10.1016/j.adhoc.2025.103991</t>
  </si>
  <si>
    <t>https://www.sciencedirect.com/science/article/pii/S1570870525002392</t>
  </si>
  <si>
    <t>C07</t>
  </si>
  <si>
    <t>Bhavsar M, Bekele Y, Roy K, Kelly J, Limbrick D. FL-IDS: Federated learning-based intrusion detection system using edge devices for transportation IoT. IEEE Access 12, 2024. doi:10.1109/ACCESS.2024.3386631</t>
  </si>
  <si>
    <t>https://doi.org/10.1109/ACCESS.2024.3386631</t>
  </si>
  <si>
    <t>https://www.academia.edu/122657176/FL_IDS_Federated_Learning_Based_Intrusion_Detection_System_Using_Edge_Devices_for_Transportation_IoT</t>
  </si>
  <si>
    <t>C08</t>
  </si>
  <si>
    <t>Mhawish et al. A novel adaptive generalization-guided federated learning for multimodal IIoT intrusion detection under statistical heterogeneity. IEEE Open Journal of the Computer Society, 2026 (as cited).</t>
  </si>
  <si>
    <t>https://doi.org/10.1109/OJCS.2026.3703977</t>
  </si>
  <si>
    <t>Read from the copy supplied by its authors (C08_Mhawish_OJCS2026.pdf)</t>
  </si>
  <si>
    <t>C18</t>
  </si>
  <si>
    <t>Al Tfaily F, Ghalmane Z, Brahmia MA, Hazimeh H, Jaber A, Zghal M. Graph-based federated learning approach for intrusion detection in IoT networks. Scientific Reports 15:41264, 2025. doi:10.1038/s41598-025-25175-1</t>
  </si>
  <si>
    <t>https://doi.org/10.1038/s41598-025-25175-1</t>
  </si>
  <si>
    <t>https://www.nature.com/articles/s41598-025-25175-1</t>
  </si>
  <si>
    <t>Q1-02</t>
  </si>
  <si>
    <t>Chaurasia N, Ram M, Verma P, Mehta N, Bharot N. A federated learning approach to network intrusion detection using residual networks in industrial IoT networks. The Journal of Supercomputing 80(13):18325-18346, 2024. doi:10.1007/s11227-024-06153-2</t>
  </si>
  <si>
    <t>https://doi.org/10.1007/s11227-024-06153-2</t>
  </si>
  <si>
    <t>https://link.springer.com/article/10.1007/s11227-024-06153-2</t>
  </si>
  <si>
    <t>Q1-08</t>
  </si>
  <si>
    <t>Khraisat A, Alazab A, Alazab M, Obeidat A, Singh S, Jan T. Federated learning for intrusion detection in IoT environments: a privacy-preserving strategy. Discover Internet of Things 5:72, 2025. doi:10.1007/s43926-025-00169-7</t>
  </si>
  <si>
    <t>https://doi.org/10.1007/s43926-025-00169-7</t>
  </si>
  <si>
    <t>https://link.springer.com/article/10.1007/s43926-025-00169-7</t>
  </si>
  <si>
    <t>Q1-09</t>
  </si>
  <si>
    <t>Fenanir S, Semchedine F. Smart intrusion detection in IoT edge computing using federated learning. Revue d'Intelligence Artificielle 37(5):1133-1145, 2023. doi:10.18280/ria.370505</t>
  </si>
  <si>
    <t>https://doi.org/10.18280/ria.370505</t>
  </si>
  <si>
    <t>https://iieta.org/download/file/fid/112338</t>
  </si>
  <si>
    <t>Q2-10</t>
  </si>
  <si>
    <t>Albanbay N, Tursynbek Y, Graffi K, Uskenbayeva R, Kalpeyeva Z, Abilkaiyr Z, Ayapov Y. Federated learning-based intrusion detection in IoT networks: performance evaluation and data scaling study. Journal of Sensor and Actuator Networks 14(4):78, 2025. doi:10.3390/jsan14040078</t>
  </si>
  <si>
    <t>https://doi.org/10.3390/jsan14040078</t>
  </si>
  <si>
    <t>https://www.mdpi.com/2224-2708/14/4/78</t>
  </si>
  <si>
    <t>Q3-02</t>
  </si>
  <si>
    <t>Chennoufi S, Han Y, Blanc G, De Cristofaro E, Kiennert C. PROTEAN: Federated intrusion detection in non-IID environments through prototype-based knowledge sharing. ESORICS 2025. arXiv:2507.05524</t>
  </si>
  <si>
    <t>https://arxiv.org/abs/2507.05524</t>
  </si>
  <si>
    <t>https://arxiv.org/pdf/2507.05524</t>
  </si>
  <si>
    <t>Q4-03</t>
  </si>
  <si>
    <t>Javeed D, Saeed MS, Adil M, Kumar P, Jolfaei A. A federated learning-based zero trust intrusion detection system for Internet of Things. Ad Hoc Networks 162:103540, 2024. doi:10.1016/j.adhoc.2024.103540</t>
  </si>
  <si>
    <t>https://doi.org/10.1016/j.adhoc.2024.103540</t>
  </si>
  <si>
    <t>https://researchnow-admin.flinders.edu.au/ws/portalfiles/portal/124783832/Javeed_Federated_P2024.pdf</t>
  </si>
  <si>
    <t>Q4-05</t>
  </si>
  <si>
    <t>Wang J, Yang K, Li M. NIDS-FGPA: A federated learning network intrusion detection algorithm based on secure aggregation of gradient similarity models. PLOS ONE 19(10):e0308639, 2024. doi:10.1371/journal.pone.0308639</t>
  </si>
  <si>
    <t>https://doi.org/10.1371/journal.pone.0308639</t>
  </si>
  <si>
    <t>https://pdfs.semanticscholar.org/9bbf/929836245d03faec26788b048ee3f42a4e3b.pdf</t>
  </si>
  <si>
    <t>Q4-07</t>
  </si>
  <si>
    <t>Ferrag MA, Friha O, Hamouda D, Maglaras L, Janicke H. Edge-IIoTset: A new comprehensive realistic cyber security dataset of IoT and IIoT applications for centralized and federated learning. IEEE Access 10:40281-40306, 2022. doi:10.1109/ACCESS.2022.3165809</t>
  </si>
  <si>
    <t>https://doi.org/10.1109/ACCESS.2022.3165809</t>
  </si>
  <si>
    <t>https://ro.ecu.edu.au/cgi/viewcontent.cgi?article=1552&amp;context=ecuworks2022-2026</t>
  </si>
  <si>
    <t>Q6-04</t>
  </si>
  <si>
    <t>Wang Y, Li J, Han Z, Cheng P, Kumar R. FedSTGCN: a novel federated spatiotemporal graph learning-based network intrusion detection method for the Internet of Things. Frontiers of Information Technology &amp; Electronic Engineering 26(7):1164-1179, 2025. doi:10.1631/FITEE.2400932</t>
  </si>
  <si>
    <t>https://doi.org/10.1631/FITEE.2400932</t>
  </si>
  <si>
    <t>https://jzus.zju.edu.cn/opentxt.php?doi=10.1631/FITEE.2400932</t>
  </si>
  <si>
    <t>Paper</t>
  </si>
  <si>
    <t>Item</t>
  </si>
  <si>
    <t>Question</t>
  </si>
  <si>
    <t>Options</t>
  </si>
  <si>
    <t>Code given</t>
  </si>
  <si>
    <t>Evidence (where to look)</t>
  </si>
  <si>
    <t>Your check</t>
  </si>
  <si>
    <t>Your code (only if Wrong)</t>
  </si>
  <si>
    <t>Comment</t>
  </si>
  <si>
    <t>A1</t>
  </si>
  <si>
    <t>Split: how were training and test data separated?</t>
  </si>
  <si>
    <t>random / temporal_or_capture / provided_split / not_reported</t>
  </si>
  <si>
    <t>not_reported</t>
  </si>
  <si>
    <t>Sec 4.2: "at each client, the dataset was divided into train and test data using a 70:30 ratio" - method (random/stratified/temporal) of the 70:30 split not stated.</t>
  </si>
  <si>
    <t>Correct</t>
  </si>
  <si>
    <t>Confirmed from Sec. 4.2: 70:30 train/test ratio is stated, but the split method is not specified.</t>
  </si>
  <si>
    <t>A2</t>
  </si>
  <si>
    <t>Sequence-leakage risk: sliding windows/sequences AND a random split over them?</t>
  </si>
  <si>
    <t>yes / no / unclear</t>
  </si>
  <si>
    <t>no</t>
  </si>
  <si>
    <t>Sec 3.2: "a shallow ANN with a dense input layer formed by 24 neurons, a dense hidden layer formed by 16 neurons" - per-record input, no windows.</t>
  </si>
  <si>
    <t>Evidence and coding checked against the article/full-text source.</t>
  </si>
  <si>
    <t>A3</t>
  </si>
  <si>
    <t>Preprocessing fit: scaling/encoding fitted on training data only, on all data, or not stated?</t>
  </si>
  <si>
    <t>train_only / all_data / not_reported</t>
  </si>
  <si>
    <t>all_data</t>
  </si>
  <si>
    <t>Sec 4.2: MinMaxScaler normalization described first, then "To conclude the pre-processing of the data, at each client, the dataset was divided into train and test data using a 70:30 ratio".</t>
  </si>
  <si>
    <t>Confirmed: MinMax scaling is described before the 70:30 split, so all-data preprocessing is appropriate.</t>
  </si>
  <si>
    <t>A4</t>
  </si>
  <si>
    <t>Budget reported: both FL rounds and local epochs/steps, only one, or neither?</t>
  </si>
  <si>
    <t>both / one / neither</t>
  </si>
  <si>
    <t>both</t>
  </si>
  <si>
    <t>Sec 3.1/Table 2: "number of rounds set to 5 and epochs set to 5 for the first three rounds and then to 8 for the last two rounds".</t>
  </si>
  <si>
    <t>A5</t>
  </si>
  <si>
    <t>Budget parity: baselines stated to use the same rounds/epochs?</t>
  </si>
  <si>
    <t>same / different_or_unstated / copied</t>
  </si>
  <si>
    <t>different_or_unstated</t>
  </si>
  <si>
    <t>Sec 4-5: centralized ANN baseline's epochs/training budget not stated; no statement that it matches the FL budget.</t>
  </si>
  <si>
    <t>A6</t>
  </si>
  <si>
    <t>Baselines: re-run by the authors, or numbers copied from other papers?</t>
  </si>
  <si>
    <t>rerun / copied / none</t>
  </si>
  <si>
    <t>rerun</t>
  </si>
  <si>
    <t>"Results from a traditional centralized approach, using the same ANN model on both datasets, are used as the baseline"; no literature-number comparison table.</t>
  </si>
  <si>
    <t>A7</t>
  </si>
  <si>
    <t>MCC or balanced accuracy (or G-mean) reported?</t>
  </si>
  <si>
    <t>yes / no</t>
  </si>
  <si>
    <t>Sec 4.3: accuracy, precision, recall, F1-score (weighted average); no MCC/balanced accuracy.</t>
  </si>
  <si>
    <t>A8</t>
  </si>
  <si>
    <t>Non-IID client partition evaluated?</t>
  </si>
  <si>
    <t>Sec 3.1: "pre-divided into several parts randomly... The same distribution of classes in the labels was also maintained for all clients" (IID).</t>
  </si>
  <si>
    <t>Confirmed: clients are randomly pre-divided while maintaining the same class distribution, so this is an IID/natural partition rather than an evaluated non-IID skew.</t>
  </si>
  <si>
    <t>A9</t>
  </si>
  <si>
    <t>Several runs with dispersion (std/CI) or a statistical test?</t>
  </si>
  <si>
    <t>runs_with_dispersion_or_test / runs_no_dispersion / single_or_not_reported</t>
  </si>
  <si>
    <t>single_or_not_reported</t>
  </si>
  <si>
    <t>No repeated runs, means or standard deviations stated in Secs 4-5.</t>
  </si>
  <si>
    <t>A10</t>
  </si>
  <si>
    <t>Tested on a dataset never used in development (cross-dataset / held-out dataset)?</t>
  </si>
  <si>
    <t>ToN_IoT and CICIDS2017 each trained and tested separately (same-dataset 70:30 test); no cross-dataset evaluation.</t>
  </si>
  <si>
    <t>A11</t>
  </si>
  <si>
    <t>Public link to code?</t>
  </si>
  <si>
    <t>No code link; only Flower 1.0.0 framework named (Sec 3).</t>
  </si>
  <si>
    <t>random</t>
  </si>
  <si>
    <t>Sec III-B: "split the local on-the-device dataset into training and testing sets in proportions of 80% and 20%"; "a stratified data split effectively ensures enough samples of the minority class".</t>
  </si>
  <si>
    <t>Confirmed: the paper uses an 80/20 stratified split; the protocol codes this as random.</t>
  </si>
  <si>
    <t>Table III: DNN and DBN with 38 input features per flow record; no windows/sequences.</t>
  </si>
  <si>
    <t>Sec III-B.2: "we perform the normalisation on each FL client independently" (StandardScaler, OrdinalEncoder); whether fit on the training portion only is not stated (Sec III-B, Fig. 1).</t>
  </si>
  <si>
    <t>Wrong</t>
  </si>
  <si>
    <t>Corrected: standardisation/encoding are performed before the train/test split, so all_data is the appropriate code.</t>
  </si>
  <si>
    <t>Sec IV-A: "train the global DL models across 50 rounds and two epochs for each training round".</t>
  </si>
  <si>
    <t>Centralised baseline training epochs/budget not stated in Sec IV.</t>
  </si>
  <si>
    <t>Centralised baseline with same architectures run by authors; Sec IV-C: "we could not compare our results with other works".</t>
  </si>
  <si>
    <t>Weighted precision, recall, F1-score only; "the accuracy metric cannot be relied upon"; no MCC/balanced accuracy.</t>
  </si>
  <si>
    <t>yes</t>
  </si>
  <si>
    <t>Sec III-B: "group the data samples by destination IP address, select the top ten IPs... assign each IP's traffic to a single FL client"; Table II non-IID class distribution.</t>
  </si>
  <si>
    <t>Confirmed: destination-IP based client assignment creates explicit non-IID client distributions.</t>
  </si>
  <si>
    <t>No repeated runs, means, std or confidence intervals reported in Sec IV.</t>
  </si>
  <si>
    <t>Pre-trained weights from "the rest of the destination IP addresses" of TON_IoT; evaluation only on the clients' own TON_IoT 20% test splits.</t>
  </si>
  <si>
    <t>No code link or repository given.</t>
  </si>
  <si>
    <t>"Before training and testing the dataset is balanced and in the balanced data 70% of the data are used for training and 30% is used for testing" - split method not stated.</t>
  </si>
  <si>
    <t>unclear</t>
  </si>
  <si>
    <t>CNN "learns temporal information in the feature sets", Table 2 3x3 kernels; input construction (windows or single records) not described.</t>
  </si>
  <si>
    <t>No scaling/normalization/encoding procedure described in Methods or Results.</t>
  </si>
  <si>
    <t>neither</t>
  </si>
  <si>
    <t>Only "After training the learning model for several epochs, the classification model will be sent to server for FL aggregation"; no rounds or epochs in Table 2.</t>
  </si>
  <si>
    <t>Table 2 lists baseline hyperparameters; no statement of equal training budget.</t>
  </si>
  <si>
    <t>Table 2 gives hyperparameters for NN, RF, NB, DT, GB, MLP and Figs 4-9 show their confusion matrices; no literature numbers quoted.</t>
  </si>
  <si>
    <t>"recall, precision, f1-score and accuracy" (Tables 3-10, Figs 11-12); no MCC/balanced accuracy.</t>
  </si>
  <si>
    <t>Number of clients and partition of the MQTT dataset across IoT instances not described.</t>
  </si>
  <si>
    <t>No repeated runs or dispersion reported.</t>
  </si>
  <si>
    <t>Only the MQTT dataset (70/30 split) used.</t>
  </si>
  <si>
    <t>Only "Data is provided within the manuscript"; no code link.</t>
  </si>
  <si>
    <t>Sec 3.8: "A standard 80:10:10 split was used for training, validation, and testing" - random/stratified/temporal not stated.</t>
  </si>
  <si>
    <t>CNN-Bi-LSTM "to capture temporal dependencies"; "Bi-LSTM networks are beneficial for analyzing sequential data"; no windows, timesteps or input shape described.</t>
  </si>
  <si>
    <t>Sec 3.2: min-max scaling "Each feature xi is transformed into the range [0,1]" and SMOTE; fit set and order relative to the split not stated.</t>
  </si>
  <si>
    <t>one</t>
  </si>
  <si>
    <t>Sec 3.8: "50 communication rounds"; "Training was carried out over 50 epochs, with early stopping" - local epochs per round (E in Algorithm 1) not specified.</t>
  </si>
  <si>
    <t>No statement that the centralized and FL variants use the same budget (Sec 3.8).</t>
  </si>
  <si>
    <t>Only centralized vs FL versions of the authors' own model (Table 3); no external methods or literature numbers.</t>
  </si>
  <si>
    <t>Sec 3.7: "accuracy, precision, recall, F1-score, and Area Under the Curve (AUC)" plus TPR/FPR; no MCC/balanced accuracy.</t>
  </si>
  <si>
    <t>"training was distributed across multiple clients"; number of clients and partition not described.</t>
  </si>
  <si>
    <t>No repeated runs, std or statistical test reported.</t>
  </si>
  <si>
    <t>X-IIoTID, WUSTL-IIoT, Edge-IIoTset each evaluated on its own 80:10:10 split; no cross-dataset test.</t>
  </si>
  <si>
    <t>No code link or availability statement.</t>
  </si>
  <si>
    <t>Sec. IV.A: 'The NSL-KDD dataset consists of two .csv files named KDD_Train and KDD_Test file' (Table 3 lists NSL_Train/NSL_Test counts), but no statement of how train/test were used; Car-Hacking split not stated.</t>
  </si>
  <si>
    <t>Confirmed: NSL-KDD and Car-Hacking are evaluated, but no cross-dataset test is performed.</t>
  </si>
  <si>
    <t>PCC-CNN (Sec. III.B) uses Conv1D over the feature vector; no windows, time steps or sequences of consecutive records/CAN frames described.</t>
  </si>
  <si>
    <t>No normalization/encoding described; Sec. III only: 'the utils file is used for data massaging and distributing the data across the local clients.' Not stated in Sec. III-IV.</t>
  </si>
  <si>
    <t>Local epochs stated (Sec. IV.C: 'The model was trained for 3 epochs with the NSL-KDD dataset and 3 epochs with the Car-Hacking dataset'); number of FL rounds not stated ('repeated iteratively until the model converges').</t>
  </si>
  <si>
    <t>Tables 5-6 compare Centralized vs Federated accuracy; no statement that centralized models used the same epochs/budget (Sec. III-IV).</t>
  </si>
  <si>
    <t>Tables 5-6: centralized and federated LR and PCC-CNN results from authors' own Testbed 1/2 experiments; no numbers copied from other papers.</t>
  </si>
  <si>
    <t>Tables 5-6 report only accuracy and loss (plus time); no MCC/balanced accuracy/G-mean.</t>
  </si>
  <si>
    <t>Sec. III, Testbed 2: 'employing four different versions of the NSL-KDD dataset, with each version assigned to an individual client' — versions/distribution not specified.</t>
  </si>
  <si>
    <t>Confirmed: the paper explicitly preprocesses the full dataset before partitioning; Dirichlet label skew is then evaluated.</t>
  </si>
  <si>
    <t>No repeated runs, averages or dispersion stated in Sec. IV / Tables 5-6.</t>
  </si>
  <si>
    <t>NSL-KDD and Car-Hacking evaluated separately (Tables 5-6); no cross-dataset or held-out-dataset evaluation.</t>
  </si>
  <si>
    <t>No code link; Sec. III mentions 'client, server, and utils python files' but no public repository.</t>
  </si>
  <si>
    <t>Sec. III.A-F and IV: no train/test split for the in-distribution results (Table 6) is stated; Algorithm 4 only names client Dm_tr/Dm_val; zero-day protocol holds out attack classes (Sec. III.F, Table 5).</t>
  </si>
  <si>
    <t>Sec. III.D: per-record input 'xi = [xi_net || xi_sys]' to fully connected encoders; no windows or sequences.</t>
  </si>
  <si>
    <t>Sec. III.B / Algorithm 1: Z-score 'µj ← Mean(D[fj]); σj ← Std(D[fj])' and OneHotEncode(D) computed on the full dataset D before partitioning (Sec. III.C: 'the preprocessed dataset D̃ is partitioned across M logical clients').</t>
  </si>
  <si>
    <t>Rounds T stated (Table 5: T = 200 or 100); local epochs E appear only as a symbol in Algorithm 4 ('rounds T; local epochs E'), no value given.</t>
  </si>
  <si>
    <t>Sec. III.E: six configurations 'varying client count, heterogeneity level, training rounds, and aggregation strategy'; no statement that FedAvg/FedProx/Centralized used the same rounds/epochs.</t>
  </si>
  <si>
    <t>Table 6: Centralized, FedAvg, FedProx results per Exp1-Exp6 from authors' experiments; Table 11 related-work 'Findings' is a qualitative literature table, not a baseline comparison.</t>
  </si>
  <si>
    <t>Sec. IV: 'using Accuracy, Precision, Recall, Macro-F1, AUC, CATS, and robustness ratio R'; no MCC/balanced accuracy/G-mean.</t>
  </si>
  <si>
    <t>Sec. III.C / Table 2: Dirichlet label allocation 'pm ∼ Dir(α)', α ∈ {1.0, 0.5, 0.1} with 5/10/20 clients.</t>
  </si>
  <si>
    <t>Confirmed: Dirichlet label allocation across 5/10/20 clients explicitly evaluates non-IID heterogeneity.</t>
  </si>
  <si>
    <t>Detection results (Tables 6-9) are single values without dispersion; only convergence/timing (Fig. 7, Table 10) 'reported as mean ± standard deviation over five independent runs.'</t>
  </si>
  <si>
    <t>runs_with_dispersion_or_test</t>
  </si>
  <si>
    <t>Corrected: mean ± standard deviation over five independent runs is reported for convergence/timing experiments.</t>
  </si>
  <si>
    <t>Zero-day protocol (Sec. III.F) holds out attack classes of the same TON_IoT dataset ('Atest = A \ Atrain'); no other dataset or capture used.</t>
  </si>
  <si>
    <t>No code link in the paper.</t>
  </si>
  <si>
    <t>Results &gt; Experimental setup: 'The dataset was partitioned across five simulated clients...'; no train/test split stated in Methods or Experimental setup.</t>
  </si>
  <si>
    <t>Temporal GAT analyzes 'timing patterns, traffic bursts, and connection sequences' (Methods); how graphs/windows are built from flows and how data are split is not stated.</t>
  </si>
  <si>
    <t>No scaling/encoding procedure stated in Methods (Client-side processing) or Experimental setup.</t>
  </si>
  <si>
    <t>Only relative statement: 'requires 25-30% fewer federation rounds'; no number of rounds or local epochs given (Experimental setup lists hidden dims, heads, dropout only).</t>
  </si>
  <si>
    <t>Corrected: 15 FL rounds are explicitly shown in Fig. 8; local epochs are not reported.</t>
  </si>
  <si>
    <t>Experimental setup: 'Evaluation included centralized GAT, GraphSAGE, FedLSTM, a basic federated GNN, and a FedGATSage variant' — no statement on shared rounds/epochs.</t>
  </si>
  <si>
    <t>Table 1: 'Comparison of performance metrics across centralized and federated approaches for NF-ToN-IoT and CIC-ToN-IoT' — authors' own baselines; published numbers cited only in Discussion, not as baselines.</t>
  </si>
  <si>
    <t>'Metrics included accuracy, balanced accuracy, macro F1 score'; 'FedGATSage achieved 78.58% balanced accuracy on the NF-ToN-IoT dataset'.</t>
  </si>
  <si>
    <t>Experimental setup: 'partitioned across five simulated clients with balanced attack distributions and network heterogeneity. Client sizes varied by up to 40% and class prevalence varied by 25%' — partition method not specified.</t>
  </si>
  <si>
    <t>Corrected: client sizes and class prevalence vary across clients, providing explicit heterogeneity/non-IID evaluation.</t>
  </si>
  <si>
    <t>No repeated runs, seeds, dispersion or statistical tests stated (Results, Experimental setup).</t>
  </si>
  <si>
    <t>runs_no_dispersion</t>
  </si>
  <si>
    <t>Corrected: multiple runs are stated, but no run-level dispersion is reported.</t>
  </si>
  <si>
    <t>NF-ToN-IoT and CIC-ToN-IoT evaluated separately; no cross-dataset evaluation.</t>
  </si>
  <si>
    <t>Confirmed: the paper evaluates NF-ToN-IoT and CIC-ToN-IoT separately; no cross-dataset test is described.</t>
  </si>
  <si>
    <t>Code availability: 'Source code is available at: https://github.com/Fouad-AlTfaily/Fed_GNN.git' (repository exists with src/, experiments/, preprocess_data.py).</t>
  </si>
  <si>
    <t>Abstract/Experiments: 'X-IIoTID ... with an 80–20 training–testing split' — how the split was made (random, stratified, temporal) is not stated; X-IIoTID has no official train/test files.</t>
  </si>
  <si>
    <t>Proposed ResNet on per-record features; no windows, sequences or time steps described in methodology.</t>
  </si>
  <si>
    <t>No normalization/scaling/encoding described in the methodology or experimental sections.</t>
  </si>
  <si>
    <t>'each client performing four epochs of local training in each communication round. The FL process encompasses 20 communication rounds.'</t>
  </si>
  <si>
    <t>same</t>
  </si>
  <si>
    <t>Federated setting stated once for the federated environment ('The dataset is distributed among 10 clients ... four epochs ... 20 communication rounds') under which all FL models are compared; centralized: 'In DL methods, we used batch size = 32, and the number of epochs = 32.'</t>
  </si>
  <si>
    <t>Table 3 ('Comparison of various classification techniques in centralized environment') and Fig. 7/9 federated comparisons are authors' own runs; Table 1 related work lists methods only, no copied numbers.</t>
  </si>
  <si>
    <t>Metrics: Accuracy, Precision, Recall (TPR), TNR, F1, F2; no MCC/balanced accuracy/G-mean.</t>
  </si>
  <si>
    <t>'These training data are distributed among 10 clients while maintaining equal distribution for each client.'</t>
  </si>
  <si>
    <t>No repeated runs, means, standard deviations or seeds reported.</t>
  </si>
  <si>
    <t>Only X-IIoTID used; no cross-dataset evaluation.</t>
  </si>
  <si>
    <t>No code link; Data availability: 'Not applicable.'</t>
  </si>
  <si>
    <t>Confirmed: source code is publicly linked in the paper's Code availability section.</t>
  </si>
  <si>
    <t>Sec. 5: 'The preprocessed data was divided into 70% for training and 30% for testing.' Method (random/stratified/temporal) not stated.</t>
  </si>
  <si>
    <t>Sec. 5: 'Each traffic record is represented by 115 statistical features'; model consumes single records, no windows/sequences built by the authors.</t>
  </si>
  <si>
    <t>Sec. 5: 'Prior to model training, the dataset underwent ... Min-Max normalization ... The preprocessed data was divided into 70% for training and 30% for testing.' (normalization before split).</t>
  </si>
  <si>
    <t>Sec. 6: accuracy 'across 30 communication rounds'; E (local epochs) and B defined only as symbols, no values.</t>
  </si>
  <si>
    <t>copied</t>
  </si>
  <si>
    <t>Sec. 6 / Table 2: 'A comparative evaluation of PEIoT-DS against existing intrusion detection solutions' (DÏoT, CE-FedAvg, Blockchain-IDS, RDTIDS); no re-implementation described. FedAvg vs FedAvgM both over 30 rounds (Figs. 3-4).</t>
  </si>
  <si>
    <t>Table 2 compares against named existing systems (DÏoT, CE-FedAvg, Blockchain-IDS, RDTIDS) with no implementation described; only FedAvg (Fig. 3, Table 3) is run by the authors.</t>
  </si>
  <si>
    <t>Accuracy, false positive rate, rounds to 90% accuracy, testing time, payload (Sec. 6, Tables 2-3, Figs. 3-4); no precision/recall/F1/MCC.</t>
  </si>
  <si>
    <t>Sec. 5: 'partitioned in a non-identically distributed (non-IID) fashion among the nine simulated IoT clients, with each client receiving device-specific data' = natural per-device split.</t>
  </si>
  <si>
    <t>Single values (e.g. FedAvgM '95.05% compared to 94.05%'); no runs, SD, CI or tests reported.</t>
  </si>
  <si>
    <t>Only N-BaIoT used (Sec. 5).</t>
  </si>
  <si>
    <t>Data availability: 'available from the corresponding author on reasonable request'; no code link.</t>
  </si>
  <si>
    <t>N-BaIoT: 'Each user was allocated a 10% subset of the total training dataset for training, while the remaining 10% was utilized for model evaluation'; IoT-23/IoTID20 'divided into 9 subsets'; split method not stated.</t>
  </si>
  <si>
    <t>LSTM (and CNN) used but no sentence on input shape, time steps, sequence length or windows.</t>
  </si>
  <si>
    <t>Preprocessing described only as handling 'missing values, inconsistent values, duplicate instances, etc.' followed by feature selection; no scaling/encoding fit stated.</t>
  </si>
  <si>
    <t>'The learning process is performed over 10 rounds' with 5 training epochs per user (Table 5).</t>
  </si>
  <si>
    <t>Only external baselines are in Table 6 'Comparison of proposed model and related works' (refs [39]-[44]); DNN/CNN/LSTM are variants of the proposed approach sharing Table 5 settings.</t>
  </si>
  <si>
    <t>'Table 6 presents a comparison between the effectiveness of our approach and other IDS approaches'; rows report results of cited works [39]-[44].</t>
  </si>
  <si>
    <t>Metrics: Accuracy, Precision, Recall and F1-Score only.</t>
  </si>
  <si>
    <t>No sentence on IID/non-IID or how the 9 user subsets differ.</t>
  </si>
  <si>
    <t>No repeated runs, averages or standard deviations reported.</t>
  </si>
  <si>
    <t>Each of IoTID20, IoT-23, N-BaIoT evaluated separately; no cross-dataset testing.</t>
  </si>
  <si>
    <t>No code link in paper.</t>
  </si>
  <si>
    <t>Only 'computed globally on the aggregated test set after the final communication round'; no train/test split procedure stated.</t>
  </si>
  <si>
    <t>'All models accept a 39-dimensional normalized input vector' (incl. CNN+BiLSTM); no windows.</t>
  </si>
  <si>
    <t>'min-max scaling was applied to all features, mapping values to the [0, 1] range'; fit scope not stated.</t>
  </si>
  <si>
    <t>'trained for 20 communication rounds' with '10 local epochs per round'.</t>
  </si>
  <si>
    <t>Centralized: 'conducted with the full dataset over 10 epochs' vs FL 20 rounds x 10 local epochs.</t>
  </si>
  <si>
    <t>'Each model was additionally trained using a centralized approach' by the authors; no copied prior-work table.</t>
  </si>
  <si>
    <t>'accuracy, precision, recall, and F1-score' (plus macro variants, confusion matrices).</t>
  </si>
  <si>
    <t>Confirmed: zero-shot evaluation holds out attack classes within the same datasets, not a completely unseen dataset.</t>
  </si>
  <si>
    <t>'Each client received a distinct combination of benign and malicious traffic, deliberately varying in attack types and their relative proportions.'</t>
  </si>
  <si>
    <t>No seeds, repeated runs, std or tests; each configuration 'treated as an independent experiment, initialized from scratch'.</t>
  </si>
  <si>
    <t>Only CICIoT2023 used.</t>
  </si>
  <si>
    <t>No code link found.</t>
  </si>
  <si>
    <t>'we split the samples into 80% for training and 20% for testing' - random/stratified/temporal not stated.</t>
  </si>
  <si>
    <t>Confirmed: 80/20 split is stated, but no random/stratified/temporal method is given.</t>
  </si>
  <si>
    <t>CNN 'consisting of two convolutional layers (64 and 128 filters)'; no windows/sequences described.</t>
  </si>
  <si>
    <t>No normalization/scaling/encoding described in the experimental setup.</t>
  </si>
  <si>
    <t>'10 rounds of federated training and three epochs of local training on each participant'.</t>
  </si>
  <si>
    <t>No statement that Cerberus, MOON-IDS, FedProx-IDS, FPL-IDS use the same rounds/epochs.</t>
  </si>
  <si>
    <t>Table 1: 'Mean and standard deviation of the macro accuracy ... averaged over three runs' reported for all baselines under the paper's alpha settings (implies authors ran them; not explicitly stated).</t>
  </si>
  <si>
    <t>'we use Macro accuracy, Accuracy, F1 score, and Precision'; macro accuracy not defined as balanced accuracy; no MCC/G-mean.</t>
  </si>
  <si>
    <t>'distribute the former to the participants in a non-IID manner according to the Dirichlet distribution', alpha in {0.75, 0.5, 0.25}.</t>
  </si>
  <si>
    <t>Table 1 mean and std over three seeds; 'we perform the Mann-Whitney U hypothesis test'.</t>
  </si>
  <si>
    <t>Zero-shot evaluation on unseen attack classes is within the same datasets; no held-out dataset.</t>
  </si>
  <si>
    <t>No code URL in paper.</t>
  </si>
  <si>
    <t>Sect. 3.1 step (6): 'Split the datasets into training and evaluation sets'; 'we further split them within each batch into training and evaluation sets'; method/ratio not stated (Table 2 gives counts only).</t>
  </si>
  <si>
    <t>Confirmed: training/evaluation split is stated, but its method/ratio is not specified.</t>
  </si>
  <si>
    <t>CNN-BiLSTM model (Tables 3-4: 'BiLSTM, 32 units, BiLSTM, 16 units'); how inputs/time steps are formed is not described.</t>
  </si>
  <si>
    <t>'Normalized the dataset features using unity-based normalization' (Sect. 3.1, min-max Eq.); fit scope not stated.</t>
  </si>
  <si>
    <t>Table 3 (FL models): 'Training rounds 10'; 'No. of epochs 100'.</t>
  </si>
  <si>
    <t>Table 4 centralized models 'No. of epochs 10' vs Table 3 FL models 'No. of epochs 100'.</t>
  </si>
  <si>
    <t>Sect. 5.1: 'The centralized learning models - CNN, DNN, and CNN-BiLSTM' trained by the authors (Tables 5-6); FL DNN vs FL CNN-BiLSTM (Tables 7-8). No numbers from other papers.</t>
  </si>
  <si>
    <t>Sect. 4.2 metrics: ACC, PRE, REC, AUC (Tables 7-8).</t>
  </si>
  <si>
    <t>'we partitioned the datasets into multiple batches, each encompassing various classes' - IID or non-IID not stated.</t>
  </si>
  <si>
    <t>No repeated runs, seeds, SD or tests in Sects. 4-5.</t>
  </si>
  <si>
    <t>CICIDS2017 and Edge-IIoTset each trained and tested separately (Tables 5-8).</t>
  </si>
  <si>
    <t>'Data will be made available on request'; no code link.</t>
  </si>
  <si>
    <t>No train/test split described (Sects. 3.2, 4.1-4.2); Sect. 4.2 only 'randomly partitioning the training set into C - C2 parts'.</t>
  </si>
  <si>
    <t>Confirmed: no train/test split procedure is described; only client partitioning is described.</t>
  </si>
  <si>
    <t>'BIGRU treats m2 as a multivariate time series input with a single time step' (Sect. 3.3); input is one record as an 8x8 image (Sect. 3.2).</t>
  </si>
  <si>
    <t>'the data was scaled using the min-max normalization method ... between 0 and 1' (Sect. 3.2, Eq. 14); fit scope not stated.</t>
  </si>
  <si>
    <t>Table 4: 'R FL communication rounds 100'; no local epochs/steps given (Table 4 lists c, R, beta, B=640, loss, Adam, rho=0.001, R'=5).</t>
  </si>
  <si>
    <t>Table 8 IDS baselines are 'previously proposed models' with numbers from their papers (Sect. 5.4); FedAvg/FedNova (Table 6) parity with GSA not stated.</t>
  </si>
  <si>
    <t>Sect. 5.4: 'we utilized the methods previously proposed on the Edge-IIoTset and CIC IoT 2023 datasets to compare ... with those of previously proposed models' (Table 8, '/' for missing cells). FedAvg/FedNova in Table 6 presumably run by authors.</t>
  </si>
  <si>
    <t>Sect. 4.3 / Tables 6, 8: Acc, Rec, Pre, F1 only.</t>
  </si>
  <si>
    <t>Sect. 4.2: 'C2 parts contain Non-IID data, such as containing only one attack category ... when C = 3, C2 = 1, and when C = 6, C2 = 2'.</t>
  </si>
  <si>
    <t>No repeated runs, seeds, SD or statistical tests reported (Sects. 4-5).</t>
  </si>
  <si>
    <t>Edge-IIoTset and CIC IoT 2023 evaluated separately; no cross-dataset test (Sect. 5).</t>
  </si>
  <si>
    <t>Data Availability gives only dataset links (Kaggle, UNB); no code link.</t>
  </si>
  <si>
    <t>Sect. IV.A.6 Step 7: 'train_test_split from the sklearn.model_selection package for split arrays or matrices into random train and test subsets'.</t>
  </si>
  <si>
    <t>Confirmed: the paper explicitly uses sklearn train_test_split for random train/test subsets.</t>
  </si>
  <si>
    <t>Flow-feature records (CSV) fed to a DNN; no windows or sequences described (Sects. IV-VI).</t>
  </si>
  <si>
    <t>Step 9: 'We applied StandardScaler ... for standardizing features by removing the mean and scaling to unit variance'; fit scope not stated.</t>
  </si>
  <si>
    <t>Sect. VI.B / Table 15: results 'for the first and the 10th round' of FL; local epochs E appear only as a symbol in Algorithm 3, no value.</t>
  </si>
  <si>
    <t>FL DNN compared with centralized DNN ('the performance of all global models are able to approximate the centralized model's performance', Sect. VI.B); no statement of equal training budget.</t>
  </si>
  <si>
    <t>Centralized DT/RF/SVM/KNN/DNN trained by the authors (Sect. VI.A, Tables 12-14); FL results in Table 15 are the authors' own.</t>
  </si>
  <si>
    <t>FL results (Table 15) report accuracy only (global, best client, worst client).</t>
  </si>
  <si>
    <t>Sect. VI.B: 'the results are obtained for two modes, namely, 1) non-independent and identically distributed (Non-IID) and 2) independent and identically distributed (IID)'.</t>
  </si>
  <si>
    <t>No repeated runs, SD or tests reported for FL (Sect. VI.B, Table 15).</t>
  </si>
  <si>
    <t>Only Edge-IIoTset used for training and testing.</t>
  </si>
  <si>
    <t>Only dataset link 'http://ieee-dataport.org/8939'; no code link.</t>
  </si>
  <si>
    <t>Sec. 5.1: '20% data of each dataset was used ... The experimental dataset was then divided into two parts, with 70% for training and 30% for test.' Method (random/temporal) not stated.</t>
  </si>
  <si>
    <t>Confirmed: 70/30 split is stated, but its random/temporal nature is not specified.</t>
  </si>
  <si>
    <t>Sec. 4.1: 'all data flows are sorted according to nodes and time series'; LSTM processes GCN node embeddings with 'temporal correlations' (Sec. 4); how the 70/30 split relates to the time ordering is not stated.</t>
  </si>
  <si>
    <t>Sec. 5.1: 'The datasets were normalized, and fields ... such as IPV4_SRC_ADDR and L4_SRC_PORT, were removed.' Fit scope not stated (Sec. 4.2 min/max is over 'all nodes of the client', train/test not distinguished).</t>
  </si>
  <si>
    <t>Sec. 5.1: 'number of rounds R for aggregating FL parameters using the FedAvg method was set to 100'; local epochs, batch size, learning rate not stated.</t>
  </si>
  <si>
    <t>Tables 2-5 report DeepFed, EEFED, FedAGRU and FedSTGCN at the same rounds R = 10, 20, ..., 100 with m = 20 clients (Sec. 5.1); local epochs not reported for any method.</t>
  </si>
  <si>
    <t>Tables 2-5 give round-by-round results of DeepFed, EEFED and FedAGRU on NF-BoT-IoT-v2 and NF-ToN-IoT-v2, i.e. produced in the authors' setup; no statement that numbers were taken from the original papers.</t>
  </si>
  <si>
    <t>Table 1 / Sec. 5: Accuracy, Recall, Precision, F1-score, Weighted recall, Weighted F1-score only.</t>
  </si>
  <si>
    <t>Sec. 5.1: 'The training dataset is evenly divided into m parts'; Conclusion: 'experiments presented in this paper are based on independent and identically distributed (IID) datasets'.</t>
  </si>
  <si>
    <t>Sec. 5: 'multiple tests were conducted to verify the stability ... The confidence intervals ... were statistically analyzed, and the results can be found in the supplementary materials.'</t>
  </si>
  <si>
    <t>Each dataset trained and tested separately (Tables 2-5); no cross-dataset evaluation.</t>
  </si>
  <si>
    <t>Data availability: 'available from the corresponding author upon reasonable request'; no code link.</t>
  </si>
  <si>
    <t>Example of a filled row: Your check = Wrong; Your code = train_only; Comment = 'Sec 3.2 says the scaler is fitted on the training set.'</t>
  </si>
  <si>
    <t>Checked rows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</si>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</sst>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name val="Tahoma"/>
      <charset val="1"/>
    </font>
    <font>
      <sz val="11"/>
      <name val="Tahoma"/>
      <charset val="1"/>
    </font>
    <font>
      <b/>
      <sz val="11"/>
      <name val="Arial"/>
      <charset val="1"/>
    </font>
    <font>
      <sz val="11"/>
      <name val="Arial"/>
      <charset val="1"/>
    </font>
    <font>
      <u/>
      <sz val="11"/>
      <color rgb="FF0563C1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1570870525002392" TargetMode="External"/><Relationship Id="rId13" Type="http://schemas.openxmlformats.org/officeDocument/2006/relationships/hyperlink" Target="https://www.nature.com/articles/s41598-025-25175-1" TargetMode="External"/><Relationship Id="rId18" Type="http://schemas.openxmlformats.org/officeDocument/2006/relationships/hyperlink" Target="https://doi.org/10.18280/ria.370505" TargetMode="External"/><Relationship Id="rId26" Type="http://schemas.openxmlformats.org/officeDocument/2006/relationships/hyperlink" Target="https://doi.org/10.1371/journal.pone.0308639" TargetMode="External"/><Relationship Id="rId3" Type="http://schemas.openxmlformats.org/officeDocument/2006/relationships/hyperlink" Target="https://doi.org/10.1109/GLOBECOM54140.2023.10437860" TargetMode="External"/><Relationship Id="rId21" Type="http://schemas.openxmlformats.org/officeDocument/2006/relationships/hyperlink" Target="https://www.mdpi.com/2224-2708/14/4/78" TargetMode="External"/><Relationship Id="rId7" Type="http://schemas.openxmlformats.org/officeDocument/2006/relationships/hyperlink" Target="https://doi.org/10.1016/j.adhoc.2025.103991" TargetMode="External"/><Relationship Id="rId12" Type="http://schemas.openxmlformats.org/officeDocument/2006/relationships/hyperlink" Target="https://doi.org/10.1038/s41598-025-25175-1" TargetMode="External"/><Relationship Id="rId17" Type="http://schemas.openxmlformats.org/officeDocument/2006/relationships/hyperlink" Target="https://link.springer.com/article/10.1007/s43926-025-00169-7" TargetMode="External"/><Relationship Id="rId25" Type="http://schemas.openxmlformats.org/officeDocument/2006/relationships/hyperlink" Target="https://researchnow-admin.flinders.edu.au/ws/portalfiles/portal/124783832/Javeed_Federated_P2024.pdf" TargetMode="External"/><Relationship Id="rId2" Type="http://schemas.openxmlformats.org/officeDocument/2006/relationships/hyperlink" Target="https://researchonline.gcu.ac.uk/ws/portalfiles/portal/77359126/77089336.pdf" TargetMode="External"/><Relationship Id="rId16" Type="http://schemas.openxmlformats.org/officeDocument/2006/relationships/hyperlink" Target="https://doi.org/10.1007/s43926-025-00169-7" TargetMode="External"/><Relationship Id="rId20" Type="http://schemas.openxmlformats.org/officeDocument/2006/relationships/hyperlink" Target="https://doi.org/10.3390/jsan14040078" TargetMode="External"/><Relationship Id="rId29" Type="http://schemas.openxmlformats.org/officeDocument/2006/relationships/hyperlink" Target="https://ro.ecu.edu.au/cgi/viewcontent.cgi?article=1552&amp;context=ecuworks2022-2026" TargetMode="External"/><Relationship Id="rId1" Type="http://schemas.openxmlformats.org/officeDocument/2006/relationships/hyperlink" Target="https://doi.org/10.3390/ai4030028" TargetMode="External"/><Relationship Id="rId6" Type="http://schemas.openxmlformats.org/officeDocument/2006/relationships/hyperlink" Target="https://www.nature.com/articles/s41598-025-93501-8" TargetMode="External"/><Relationship Id="rId11" Type="http://schemas.openxmlformats.org/officeDocument/2006/relationships/hyperlink" Target="https://doi.org/10.1109/OJCS.2026.3703977" TargetMode="External"/><Relationship Id="rId24" Type="http://schemas.openxmlformats.org/officeDocument/2006/relationships/hyperlink" Target="https://doi.org/10.1016/j.adhoc.2024.103540" TargetMode="External"/><Relationship Id="rId5" Type="http://schemas.openxmlformats.org/officeDocument/2006/relationships/hyperlink" Target="https://doi.org/10.1038/s41598-025-93501-8" TargetMode="External"/><Relationship Id="rId15" Type="http://schemas.openxmlformats.org/officeDocument/2006/relationships/hyperlink" Target="https://link.springer.com/article/10.1007/s11227-024-06153-2" TargetMode="External"/><Relationship Id="rId23" Type="http://schemas.openxmlformats.org/officeDocument/2006/relationships/hyperlink" Target="https://arxiv.org/pdf/2507.05524" TargetMode="External"/><Relationship Id="rId28" Type="http://schemas.openxmlformats.org/officeDocument/2006/relationships/hyperlink" Target="https://doi.org/10.1109/ACCESS.2022.3165809" TargetMode="External"/><Relationship Id="rId10" Type="http://schemas.openxmlformats.org/officeDocument/2006/relationships/hyperlink" Target="https://www.academia.edu/122657176/FL_IDS_Federated_Learning_Based_Intrusion_Detection_System_Using_Edge_Devices_for_Transportation_IoT" TargetMode="External"/><Relationship Id="rId19" Type="http://schemas.openxmlformats.org/officeDocument/2006/relationships/hyperlink" Target="https://iieta.org/download/file/fid/112338" TargetMode="External"/><Relationship Id="rId31" Type="http://schemas.openxmlformats.org/officeDocument/2006/relationships/hyperlink" Target="https://jzus.zju.edu.cn/opentxt.php?doi=10.1631/FITEE.2400932" TargetMode="External"/><Relationship Id="rId4" Type="http://schemas.openxmlformats.org/officeDocument/2006/relationships/hyperlink" Target="https://orca.cardiff.ac.uk/id/eprint/166936/1/Federated_Deep_Learning_for_Intrusion_Detection_in_IoT_Networks.pdf" TargetMode="External"/><Relationship Id="rId9" Type="http://schemas.openxmlformats.org/officeDocument/2006/relationships/hyperlink" Target="https://doi.org/10.1109/ACCESS.2024.3386631" TargetMode="External"/><Relationship Id="rId14" Type="http://schemas.openxmlformats.org/officeDocument/2006/relationships/hyperlink" Target="https://doi.org/10.1007/s11227-024-06153-2" TargetMode="External"/><Relationship Id="rId22" Type="http://schemas.openxmlformats.org/officeDocument/2006/relationships/hyperlink" Target="https://arxiv.org/abs/2507.05524" TargetMode="External"/><Relationship Id="rId27" Type="http://schemas.openxmlformats.org/officeDocument/2006/relationships/hyperlink" Target="https://pdfs.semanticscholar.org/9bbf/929836245d03faec26788b048ee3f42a4e3b.pdf" TargetMode="External"/><Relationship Id="rId30" Type="http://schemas.openxmlformats.org/officeDocument/2006/relationships/hyperlink" Target="https://doi.org/10.1631/FITEE.2400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rightToLeft="1" zoomScaleNormal="100" workbookViewId="0"/>
  </sheetViews>
  <sheetFormatPr defaultColWidth="8.6640625" defaultRowHeight="14.4" x14ac:dyDescent="0.3"/>
  <cols>
    <col min="1" max="1" width="120" customWidth="1"/>
  </cols>
  <sheetData>
    <row r="1" spans="1:1" ht="15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2" t="s">
        <v>1</v>
      </c>
    </row>
    <row r="4" spans="1:1" ht="15" customHeight="1" x14ac:dyDescent="0.3">
      <c r="A4" s="2" t="s">
        <v>2</v>
      </c>
    </row>
    <row r="5" spans="1:1" ht="15" customHeight="1" x14ac:dyDescent="0.3">
      <c r="A5" s="2" t="s">
        <v>3</v>
      </c>
    </row>
    <row r="6" spans="1:1" ht="15" customHeight="1" x14ac:dyDescent="0.3">
      <c r="A6" s="2" t="s">
        <v>4</v>
      </c>
    </row>
    <row r="7" spans="1:1" ht="15" customHeight="1" x14ac:dyDescent="0.3">
      <c r="A7" s="2" t="s">
        <v>5</v>
      </c>
    </row>
    <row r="8" spans="1:1" ht="15" customHeight="1" x14ac:dyDescent="0.3">
      <c r="A8" s="2" t="s">
        <v>6</v>
      </c>
    </row>
    <row r="9" spans="1:1" ht="15" customHeight="1" x14ac:dyDescent="0.3">
      <c r="A9" s="2" t="s">
        <v>7</v>
      </c>
    </row>
    <row r="10" spans="1:1" ht="15" customHeight="1" x14ac:dyDescent="0.3">
      <c r="A10" s="2" t="s">
        <v>8</v>
      </c>
    </row>
    <row r="11" spans="1:1" ht="15" customHeight="1" x14ac:dyDescent="0.3">
      <c r="A11" s="2"/>
    </row>
    <row r="12" spans="1:1" ht="15" customHeight="1" x14ac:dyDescent="0.3">
      <c r="A12" s="1" t="s">
        <v>9</v>
      </c>
    </row>
    <row r="13" spans="1:1" ht="15" customHeight="1" x14ac:dyDescent="0.3">
      <c r="A13" s="2" t="s">
        <v>10</v>
      </c>
    </row>
    <row r="14" spans="1:1" ht="15" customHeight="1" x14ac:dyDescent="0.3">
      <c r="A14" s="2" t="s">
        <v>11</v>
      </c>
    </row>
    <row r="15" spans="1:1" ht="15" customHeight="1" x14ac:dyDescent="0.3">
      <c r="A15" s="2" t="s">
        <v>12</v>
      </c>
    </row>
    <row r="16" spans="1:1" ht="15" customHeight="1" x14ac:dyDescent="0.3">
      <c r="A16" s="2" t="s">
        <v>13</v>
      </c>
    </row>
    <row r="17" spans="1:1" ht="15" customHeight="1" x14ac:dyDescent="0.3">
      <c r="A17" s="2" t="s">
        <v>14</v>
      </c>
    </row>
    <row r="18" spans="1:1" ht="27.75" customHeight="1" x14ac:dyDescent="0.3">
      <c r="A18" s="2" t="s">
        <v>15</v>
      </c>
    </row>
    <row r="19" spans="1:1" ht="27.75" customHeight="1" x14ac:dyDescent="0.3">
      <c r="A19" s="2" t="s">
        <v>16</v>
      </c>
    </row>
    <row r="20" spans="1:1" ht="15" customHeight="1" x14ac:dyDescent="0.3">
      <c r="A20" s="2" t="s">
        <v>17</v>
      </c>
    </row>
    <row r="21" spans="1:1" ht="15" customHeight="1" x14ac:dyDescent="0.3">
      <c r="A21" s="2"/>
    </row>
    <row r="22" spans="1:1" ht="15" customHeight="1" x14ac:dyDescent="0.3">
      <c r="A22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80" customWidth="1"/>
    <col min="3" max="3" width="40" customWidth="1"/>
    <col min="4" max="4" width="55" customWidth="1"/>
  </cols>
  <sheetData>
    <row r="1" spans="1:4" ht="15" customHeight="1" x14ac:dyDescent="0.3">
      <c r="A1" s="3" t="s">
        <v>19</v>
      </c>
      <c r="B1" s="3" t="s">
        <v>20</v>
      </c>
      <c r="C1" s="3" t="s">
        <v>21</v>
      </c>
      <c r="D1" s="3" t="s">
        <v>22</v>
      </c>
    </row>
    <row r="2" spans="1:4" ht="26.25" customHeight="1" x14ac:dyDescent="0.3">
      <c r="A2" s="4" t="s">
        <v>23</v>
      </c>
      <c r="B2" s="4" t="s">
        <v>24</v>
      </c>
      <c r="C2" s="5" t="s">
        <v>25</v>
      </c>
      <c r="D2" s="5" t="s">
        <v>26</v>
      </c>
    </row>
    <row r="3" spans="1:4" ht="39" customHeight="1" x14ac:dyDescent="0.3">
      <c r="A3" s="4" t="s">
        <v>27</v>
      </c>
      <c r="B3" s="4" t="s">
        <v>28</v>
      </c>
      <c r="C3" s="5" t="s">
        <v>29</v>
      </c>
      <c r="D3" s="5" t="s">
        <v>30</v>
      </c>
    </row>
    <row r="4" spans="1:4" ht="39" customHeight="1" x14ac:dyDescent="0.3">
      <c r="A4" s="4" t="s">
        <v>31</v>
      </c>
      <c r="B4" s="4" t="s">
        <v>32</v>
      </c>
      <c r="C4" s="5" t="s">
        <v>33</v>
      </c>
      <c r="D4" s="5" t="s">
        <v>34</v>
      </c>
    </row>
    <row r="5" spans="1:4" ht="39" customHeight="1" x14ac:dyDescent="0.3">
      <c r="A5" s="4" t="s">
        <v>35</v>
      </c>
      <c r="B5" s="4" t="s">
        <v>36</v>
      </c>
      <c r="C5" s="5" t="s">
        <v>37</v>
      </c>
      <c r="D5" s="5" t="s">
        <v>38</v>
      </c>
    </row>
    <row r="6" spans="1:4" ht="39" customHeight="1" x14ac:dyDescent="0.3">
      <c r="A6" s="4" t="s">
        <v>39</v>
      </c>
      <c r="B6" s="4" t="s">
        <v>40</v>
      </c>
      <c r="C6" s="5" t="s">
        <v>41</v>
      </c>
      <c r="D6" s="5" t="s">
        <v>42</v>
      </c>
    </row>
    <row r="7" spans="1:4" ht="39" customHeight="1" x14ac:dyDescent="0.3">
      <c r="A7" s="4" t="s">
        <v>43</v>
      </c>
      <c r="B7" s="4" t="s">
        <v>44</v>
      </c>
      <c r="C7" s="5" t="s">
        <v>45</v>
      </c>
      <c r="D7" s="4" t="s">
        <v>46</v>
      </c>
    </row>
    <row r="8" spans="1:4" ht="39" customHeight="1" x14ac:dyDescent="0.3">
      <c r="A8" s="4" t="s">
        <v>47</v>
      </c>
      <c r="B8" s="4" t="s">
        <v>48</v>
      </c>
      <c r="C8" s="5" t="s">
        <v>49</v>
      </c>
      <c r="D8" s="5" t="s">
        <v>50</v>
      </c>
    </row>
    <row r="9" spans="1:4" ht="51.75" customHeight="1" x14ac:dyDescent="0.3">
      <c r="A9" s="4" t="s">
        <v>51</v>
      </c>
      <c r="B9" s="4" t="s">
        <v>52</v>
      </c>
      <c r="C9" s="5" t="s">
        <v>53</v>
      </c>
      <c r="D9" s="5" t="s">
        <v>54</v>
      </c>
    </row>
    <row r="10" spans="1:4" ht="39" customHeight="1" x14ac:dyDescent="0.3">
      <c r="A10" s="4" t="s">
        <v>55</v>
      </c>
      <c r="B10" s="4" t="s">
        <v>56</v>
      </c>
      <c r="C10" s="5" t="s">
        <v>57</v>
      </c>
      <c r="D10" s="5" t="s">
        <v>58</v>
      </c>
    </row>
    <row r="11" spans="1:4" ht="39" customHeight="1" x14ac:dyDescent="0.3">
      <c r="A11" s="4" t="s">
        <v>59</v>
      </c>
      <c r="B11" s="4" t="s">
        <v>60</v>
      </c>
      <c r="C11" s="5" t="s">
        <v>61</v>
      </c>
      <c r="D11" s="5" t="s">
        <v>62</v>
      </c>
    </row>
    <row r="12" spans="1:4" ht="51.75" customHeight="1" x14ac:dyDescent="0.3">
      <c r="A12" s="4" t="s">
        <v>63</v>
      </c>
      <c r="B12" s="4" t="s">
        <v>64</v>
      </c>
      <c r="C12" s="5" t="s">
        <v>65</v>
      </c>
      <c r="D12" s="5" t="s">
        <v>66</v>
      </c>
    </row>
    <row r="13" spans="1:4" ht="39" customHeight="1" x14ac:dyDescent="0.3">
      <c r="A13" s="4" t="s">
        <v>67</v>
      </c>
      <c r="B13" s="4" t="s">
        <v>68</v>
      </c>
      <c r="C13" s="5" t="s">
        <v>69</v>
      </c>
      <c r="D13" s="5" t="s">
        <v>70</v>
      </c>
    </row>
    <row r="14" spans="1:4" ht="39" customHeight="1" x14ac:dyDescent="0.3">
      <c r="A14" s="4" t="s">
        <v>71</v>
      </c>
      <c r="B14" s="4" t="s">
        <v>72</v>
      </c>
      <c r="C14" s="5" t="s">
        <v>73</v>
      </c>
      <c r="D14" s="5" t="s">
        <v>74</v>
      </c>
    </row>
    <row r="15" spans="1:4" ht="39" customHeight="1" x14ac:dyDescent="0.3">
      <c r="A15" s="4" t="s">
        <v>75</v>
      </c>
      <c r="B15" s="4" t="s">
        <v>76</v>
      </c>
      <c r="C15" s="5" t="s">
        <v>77</v>
      </c>
      <c r="D15" s="5" t="s">
        <v>78</v>
      </c>
    </row>
    <row r="16" spans="1:4" ht="51.75" customHeight="1" x14ac:dyDescent="0.3">
      <c r="A16" s="4" t="s">
        <v>79</v>
      </c>
      <c r="B16" s="4" t="s">
        <v>80</v>
      </c>
      <c r="C16" s="5" t="s">
        <v>81</v>
      </c>
      <c r="D16" s="5" t="s">
        <v>82</v>
      </c>
    </row>
    <row r="17" spans="1:4" ht="51.75" customHeight="1" x14ac:dyDescent="0.3">
      <c r="A17" s="4" t="s">
        <v>83</v>
      </c>
      <c r="B17" s="4" t="s">
        <v>84</v>
      </c>
      <c r="C17" s="5" t="s">
        <v>85</v>
      </c>
      <c r="D17" s="5" t="s">
        <v>86</v>
      </c>
    </row>
  </sheetData>
  <hyperlinks>
    <hyperlink ref="C2" r:id="rId1" xr:uid="{00000000-0004-0000-0100-000000000000}"/>
    <hyperlink ref="D2" r:id="rId2" xr:uid="{00000000-0004-0000-0100-000001000000}"/>
    <hyperlink ref="C3" r:id="rId3" xr:uid="{00000000-0004-0000-0100-000002000000}"/>
    <hyperlink ref="D3" r:id="rId4" xr:uid="{00000000-0004-0000-0100-000003000000}"/>
    <hyperlink ref="C4" r:id="rId5" xr:uid="{00000000-0004-0000-0100-000004000000}"/>
    <hyperlink ref="D4" r:id="rId6" xr:uid="{00000000-0004-0000-0100-000005000000}"/>
    <hyperlink ref="C5" r:id="rId7" xr:uid="{00000000-0004-0000-0100-000006000000}"/>
    <hyperlink ref="D5" r:id="rId8" xr:uid="{00000000-0004-0000-0100-000007000000}"/>
    <hyperlink ref="C6" r:id="rId9" xr:uid="{00000000-0004-0000-0100-000008000000}"/>
    <hyperlink ref="D6" r:id="rId10" xr:uid="{00000000-0004-0000-0100-000009000000}"/>
    <hyperlink ref="C7" r:id="rId11" xr:uid="{00000000-0004-0000-0100-00000A000000}"/>
    <hyperlink ref="C8" r:id="rId12" xr:uid="{00000000-0004-0000-0100-00000B000000}"/>
    <hyperlink ref="D8" r:id="rId13" xr:uid="{00000000-0004-0000-0100-00000C000000}"/>
    <hyperlink ref="C9" r:id="rId14" xr:uid="{00000000-0004-0000-0100-00000D000000}"/>
    <hyperlink ref="D9" r:id="rId15" xr:uid="{00000000-0004-0000-0100-00000E000000}"/>
    <hyperlink ref="C10" r:id="rId16" xr:uid="{00000000-0004-0000-0100-00000F000000}"/>
    <hyperlink ref="D10" r:id="rId17" xr:uid="{00000000-0004-0000-0100-000010000000}"/>
    <hyperlink ref="C11" r:id="rId18" xr:uid="{00000000-0004-0000-0100-000011000000}"/>
    <hyperlink ref="D11" r:id="rId19" xr:uid="{00000000-0004-0000-0100-000012000000}"/>
    <hyperlink ref="C12" r:id="rId20" xr:uid="{00000000-0004-0000-0100-000013000000}"/>
    <hyperlink ref="D12" r:id="rId21" xr:uid="{00000000-0004-0000-0100-000014000000}"/>
    <hyperlink ref="C13" r:id="rId22" xr:uid="{00000000-0004-0000-0100-000015000000}"/>
    <hyperlink ref="D13" r:id="rId23" xr:uid="{00000000-0004-0000-0100-000016000000}"/>
    <hyperlink ref="C14" r:id="rId24" xr:uid="{00000000-0004-0000-0100-000017000000}"/>
    <hyperlink ref="D14" r:id="rId25" xr:uid="{00000000-0004-0000-0100-000018000000}"/>
    <hyperlink ref="C15" r:id="rId26" xr:uid="{00000000-0004-0000-0100-000019000000}"/>
    <hyperlink ref="D15" r:id="rId27" xr:uid="{00000000-0004-0000-0100-00001A000000}"/>
    <hyperlink ref="C16" r:id="rId28" xr:uid="{00000000-0004-0000-0100-00001B000000}"/>
    <hyperlink ref="D16" r:id="rId29" xr:uid="{00000000-0004-0000-0100-00001C000000}"/>
    <hyperlink ref="C17" r:id="rId30" xr:uid="{00000000-0004-0000-0100-00001D000000}"/>
    <hyperlink ref="D17" r:id="rId31" xr:uid="{00000000-0004-0000-0100-00001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" customWidth="1"/>
    <col min="2" max="2" width="6" customWidth="1"/>
    <col min="3" max="3" width="34" customWidth="1"/>
    <col min="4" max="4" width="26" customWidth="1"/>
    <col min="5" max="5" width="20" customWidth="1"/>
    <col min="6" max="6" width="70" customWidth="1"/>
    <col min="7" max="7" width="13" customWidth="1"/>
    <col min="8" max="8" width="20" customWidth="1"/>
    <col min="9" max="9" width="30" customWidth="1"/>
  </cols>
  <sheetData>
    <row r="1" spans="1:9" ht="26.25" customHeight="1" x14ac:dyDescent="0.3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</row>
    <row r="2" spans="1:9" ht="23.25" customHeight="1" x14ac:dyDescent="0.3">
      <c r="A2" s="6" t="s">
        <v>23</v>
      </c>
      <c r="B2" s="6" t="s">
        <v>96</v>
      </c>
      <c r="C2" s="6" t="s">
        <v>97</v>
      </c>
      <c r="D2" s="6" t="s">
        <v>98</v>
      </c>
      <c r="E2" s="6" t="s">
        <v>99</v>
      </c>
      <c r="F2" s="6" t="s">
        <v>100</v>
      </c>
      <c r="G2" s="7" t="s">
        <v>101</v>
      </c>
      <c r="H2" s="7"/>
      <c r="I2" s="7" t="s">
        <v>102</v>
      </c>
    </row>
    <row r="3" spans="1:9" ht="34.5" customHeight="1" x14ac:dyDescent="0.3">
      <c r="A3" s="6" t="s">
        <v>23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  <c r="G3" s="7" t="s">
        <v>101</v>
      </c>
      <c r="H3" s="7"/>
      <c r="I3" s="7" t="s">
        <v>108</v>
      </c>
    </row>
    <row r="4" spans="1:9" ht="34.5" customHeight="1" x14ac:dyDescent="0.3">
      <c r="A4" s="6" t="s">
        <v>23</v>
      </c>
      <c r="B4" s="6" t="s">
        <v>109</v>
      </c>
      <c r="C4" s="6" t="s">
        <v>110</v>
      </c>
      <c r="D4" s="6" t="s">
        <v>111</v>
      </c>
      <c r="E4" s="6" t="s">
        <v>112</v>
      </c>
      <c r="F4" s="6" t="s">
        <v>113</v>
      </c>
      <c r="G4" s="7" t="s">
        <v>101</v>
      </c>
      <c r="H4" s="7"/>
      <c r="I4" s="7" t="s">
        <v>114</v>
      </c>
    </row>
    <row r="5" spans="1:9" ht="23.25" customHeight="1" x14ac:dyDescent="0.3">
      <c r="A5" s="6" t="s">
        <v>23</v>
      </c>
      <c r="B5" s="6" t="s">
        <v>115</v>
      </c>
      <c r="C5" s="6" t="s">
        <v>116</v>
      </c>
      <c r="D5" s="6" t="s">
        <v>117</v>
      </c>
      <c r="E5" s="6" t="s">
        <v>118</v>
      </c>
      <c r="F5" s="6" t="s">
        <v>119</v>
      </c>
      <c r="G5" s="7" t="s">
        <v>101</v>
      </c>
      <c r="H5" s="7"/>
      <c r="I5" s="7" t="s">
        <v>108</v>
      </c>
    </row>
    <row r="6" spans="1:9" ht="23.25" customHeight="1" x14ac:dyDescent="0.3">
      <c r="A6" s="6" t="s">
        <v>23</v>
      </c>
      <c r="B6" s="6" t="s">
        <v>120</v>
      </c>
      <c r="C6" s="6" t="s">
        <v>121</v>
      </c>
      <c r="D6" s="6" t="s">
        <v>122</v>
      </c>
      <c r="E6" s="6" t="s">
        <v>123</v>
      </c>
      <c r="F6" s="6" t="s">
        <v>124</v>
      </c>
      <c r="G6" s="7" t="s">
        <v>101</v>
      </c>
      <c r="H6" s="7"/>
      <c r="I6" s="7" t="s">
        <v>108</v>
      </c>
    </row>
    <row r="7" spans="1:9" ht="23.25" customHeight="1" x14ac:dyDescent="0.3">
      <c r="A7" s="6" t="s">
        <v>23</v>
      </c>
      <c r="B7" s="6" t="s">
        <v>125</v>
      </c>
      <c r="C7" s="6" t="s">
        <v>126</v>
      </c>
      <c r="D7" s="6" t="s">
        <v>127</v>
      </c>
      <c r="E7" s="6" t="s">
        <v>128</v>
      </c>
      <c r="F7" s="6" t="s">
        <v>129</v>
      </c>
      <c r="G7" s="7" t="s">
        <v>101</v>
      </c>
      <c r="H7" s="7"/>
      <c r="I7" s="7" t="s">
        <v>108</v>
      </c>
    </row>
    <row r="8" spans="1:9" ht="23.25" customHeight="1" x14ac:dyDescent="0.3">
      <c r="A8" s="6" t="s">
        <v>23</v>
      </c>
      <c r="B8" s="6" t="s">
        <v>130</v>
      </c>
      <c r="C8" s="6" t="s">
        <v>131</v>
      </c>
      <c r="D8" s="6" t="s">
        <v>132</v>
      </c>
      <c r="E8" s="6" t="s">
        <v>106</v>
      </c>
      <c r="F8" s="6" t="s">
        <v>133</v>
      </c>
      <c r="G8" s="7" t="s">
        <v>101</v>
      </c>
      <c r="H8" s="7"/>
      <c r="I8" s="7" t="s">
        <v>108</v>
      </c>
    </row>
    <row r="9" spans="1:9" ht="23.25" customHeight="1" x14ac:dyDescent="0.3">
      <c r="A9" s="6" t="s">
        <v>23</v>
      </c>
      <c r="B9" s="6" t="s">
        <v>134</v>
      </c>
      <c r="C9" s="6" t="s">
        <v>135</v>
      </c>
      <c r="D9" s="6" t="s">
        <v>105</v>
      </c>
      <c r="E9" s="6" t="s">
        <v>106</v>
      </c>
      <c r="F9" s="6" t="s">
        <v>136</v>
      </c>
      <c r="G9" s="7" t="s">
        <v>101</v>
      </c>
      <c r="H9" s="7"/>
      <c r="I9" s="7" t="s">
        <v>137</v>
      </c>
    </row>
    <row r="10" spans="1:9" ht="34.5" customHeight="1" x14ac:dyDescent="0.3">
      <c r="A10" s="6" t="s">
        <v>23</v>
      </c>
      <c r="B10" s="6" t="s">
        <v>138</v>
      </c>
      <c r="C10" s="6" t="s">
        <v>139</v>
      </c>
      <c r="D10" s="6" t="s">
        <v>140</v>
      </c>
      <c r="E10" s="6" t="s">
        <v>141</v>
      </c>
      <c r="F10" s="6" t="s">
        <v>142</v>
      </c>
      <c r="G10" s="7" t="s">
        <v>101</v>
      </c>
      <c r="H10" s="7"/>
      <c r="I10" s="7" t="s">
        <v>108</v>
      </c>
    </row>
    <row r="11" spans="1:9" ht="34.5" customHeight="1" x14ac:dyDescent="0.3">
      <c r="A11" s="6" t="s">
        <v>23</v>
      </c>
      <c r="B11" s="6" t="s">
        <v>143</v>
      </c>
      <c r="C11" s="6" t="s">
        <v>144</v>
      </c>
      <c r="D11" s="6" t="s">
        <v>132</v>
      </c>
      <c r="E11" s="6" t="s">
        <v>106</v>
      </c>
      <c r="F11" s="6" t="s">
        <v>145</v>
      </c>
      <c r="G11" s="7" t="s">
        <v>101</v>
      </c>
      <c r="H11" s="7"/>
      <c r="I11" s="7" t="s">
        <v>108</v>
      </c>
    </row>
    <row r="12" spans="1:9" ht="15" customHeight="1" x14ac:dyDescent="0.3">
      <c r="A12" s="6" t="s">
        <v>23</v>
      </c>
      <c r="B12" s="6" t="s">
        <v>146</v>
      </c>
      <c r="C12" s="6" t="s">
        <v>147</v>
      </c>
      <c r="D12" s="6" t="s">
        <v>132</v>
      </c>
      <c r="E12" s="6" t="s">
        <v>106</v>
      </c>
      <c r="F12" s="6" t="s">
        <v>148</v>
      </c>
      <c r="G12" s="7" t="s">
        <v>101</v>
      </c>
      <c r="H12" s="7"/>
      <c r="I12" s="7" t="s">
        <v>108</v>
      </c>
    </row>
    <row r="13" spans="1:9" ht="34.5" customHeight="1" x14ac:dyDescent="0.3">
      <c r="A13" s="6" t="s">
        <v>27</v>
      </c>
      <c r="B13" s="6" t="s">
        <v>96</v>
      </c>
      <c r="C13" s="6" t="s">
        <v>97</v>
      </c>
      <c r="D13" s="6" t="s">
        <v>98</v>
      </c>
      <c r="E13" s="6" t="s">
        <v>149</v>
      </c>
      <c r="F13" s="6" t="s">
        <v>150</v>
      </c>
      <c r="G13" s="7" t="s">
        <v>101</v>
      </c>
      <c r="H13" s="7"/>
      <c r="I13" s="7" t="s">
        <v>151</v>
      </c>
    </row>
    <row r="14" spans="1:9" ht="34.5" customHeight="1" x14ac:dyDescent="0.3">
      <c r="A14" s="6" t="s">
        <v>27</v>
      </c>
      <c r="B14" s="6" t="s">
        <v>103</v>
      </c>
      <c r="C14" s="6" t="s">
        <v>104</v>
      </c>
      <c r="D14" s="6" t="s">
        <v>105</v>
      </c>
      <c r="E14" s="6" t="s">
        <v>106</v>
      </c>
      <c r="F14" s="6" t="s">
        <v>152</v>
      </c>
      <c r="G14" s="7" t="s">
        <v>101</v>
      </c>
      <c r="H14" s="7"/>
      <c r="I14" s="7" t="s">
        <v>108</v>
      </c>
    </row>
    <row r="15" spans="1:9" ht="34.5" customHeight="1" x14ac:dyDescent="0.3">
      <c r="A15" s="6" t="s">
        <v>27</v>
      </c>
      <c r="B15" s="6" t="s">
        <v>109</v>
      </c>
      <c r="C15" s="6" t="s">
        <v>110</v>
      </c>
      <c r="D15" s="6" t="s">
        <v>111</v>
      </c>
      <c r="E15" s="6" t="s">
        <v>99</v>
      </c>
      <c r="F15" s="6" t="s">
        <v>153</v>
      </c>
      <c r="G15" s="7" t="s">
        <v>154</v>
      </c>
      <c r="H15" s="7" t="s">
        <v>112</v>
      </c>
      <c r="I15" s="7" t="s">
        <v>155</v>
      </c>
    </row>
    <row r="16" spans="1:9" ht="23.25" customHeight="1" x14ac:dyDescent="0.3">
      <c r="A16" s="6" t="s">
        <v>27</v>
      </c>
      <c r="B16" s="6" t="s">
        <v>115</v>
      </c>
      <c r="C16" s="6" t="s">
        <v>116</v>
      </c>
      <c r="D16" s="6" t="s">
        <v>117</v>
      </c>
      <c r="E16" s="6" t="s">
        <v>118</v>
      </c>
      <c r="F16" s="6" t="s">
        <v>156</v>
      </c>
      <c r="G16" s="7" t="s">
        <v>101</v>
      </c>
      <c r="H16" s="7"/>
      <c r="I16" s="7" t="s">
        <v>108</v>
      </c>
    </row>
    <row r="17" spans="1:9" ht="23.25" customHeight="1" x14ac:dyDescent="0.3">
      <c r="A17" s="6" t="s">
        <v>27</v>
      </c>
      <c r="B17" s="6" t="s">
        <v>120</v>
      </c>
      <c r="C17" s="6" t="s">
        <v>121</v>
      </c>
      <c r="D17" s="6" t="s">
        <v>122</v>
      </c>
      <c r="E17" s="6" t="s">
        <v>123</v>
      </c>
      <c r="F17" s="6" t="s">
        <v>157</v>
      </c>
      <c r="G17" s="7" t="s">
        <v>101</v>
      </c>
      <c r="H17" s="7"/>
      <c r="I17" s="7" t="s">
        <v>108</v>
      </c>
    </row>
    <row r="18" spans="1:9" ht="23.25" customHeight="1" x14ac:dyDescent="0.3">
      <c r="A18" s="6" t="s">
        <v>27</v>
      </c>
      <c r="B18" s="6" t="s">
        <v>125</v>
      </c>
      <c r="C18" s="6" t="s">
        <v>126</v>
      </c>
      <c r="D18" s="6" t="s">
        <v>127</v>
      </c>
      <c r="E18" s="6" t="s">
        <v>128</v>
      </c>
      <c r="F18" s="6" t="s">
        <v>158</v>
      </c>
      <c r="G18" s="7" t="s">
        <v>101</v>
      </c>
      <c r="H18" s="7"/>
      <c r="I18" s="7" t="s">
        <v>108</v>
      </c>
    </row>
    <row r="19" spans="1:9" ht="23.25" customHeight="1" x14ac:dyDescent="0.3">
      <c r="A19" s="6" t="s">
        <v>27</v>
      </c>
      <c r="B19" s="6" t="s">
        <v>130</v>
      </c>
      <c r="C19" s="6" t="s">
        <v>131</v>
      </c>
      <c r="D19" s="6" t="s">
        <v>132</v>
      </c>
      <c r="E19" s="6" t="s">
        <v>106</v>
      </c>
      <c r="F19" s="6" t="s">
        <v>159</v>
      </c>
      <c r="G19" s="7" t="s">
        <v>101</v>
      </c>
      <c r="H19" s="7"/>
      <c r="I19" s="7" t="s">
        <v>108</v>
      </c>
    </row>
    <row r="20" spans="1:9" ht="23.25" customHeight="1" x14ac:dyDescent="0.3">
      <c r="A20" s="6" t="s">
        <v>27</v>
      </c>
      <c r="B20" s="6" t="s">
        <v>134</v>
      </c>
      <c r="C20" s="6" t="s">
        <v>135</v>
      </c>
      <c r="D20" s="6" t="s">
        <v>105</v>
      </c>
      <c r="E20" s="6" t="s">
        <v>160</v>
      </c>
      <c r="F20" s="6" t="s">
        <v>161</v>
      </c>
      <c r="G20" s="7" t="s">
        <v>101</v>
      </c>
      <c r="H20" s="7"/>
      <c r="I20" s="7" t="s">
        <v>162</v>
      </c>
    </row>
    <row r="21" spans="1:9" ht="34.5" customHeight="1" x14ac:dyDescent="0.3">
      <c r="A21" s="6" t="s">
        <v>27</v>
      </c>
      <c r="B21" s="6" t="s">
        <v>138</v>
      </c>
      <c r="C21" s="6" t="s">
        <v>139</v>
      </c>
      <c r="D21" s="6" t="s">
        <v>140</v>
      </c>
      <c r="E21" s="6" t="s">
        <v>141</v>
      </c>
      <c r="F21" s="6" t="s">
        <v>163</v>
      </c>
      <c r="G21" s="7" t="s">
        <v>101</v>
      </c>
      <c r="H21" s="7"/>
      <c r="I21" s="7" t="s">
        <v>108</v>
      </c>
    </row>
    <row r="22" spans="1:9" ht="34.5" customHeight="1" x14ac:dyDescent="0.3">
      <c r="A22" s="6" t="s">
        <v>27</v>
      </c>
      <c r="B22" s="6" t="s">
        <v>143</v>
      </c>
      <c r="C22" s="6" t="s">
        <v>144</v>
      </c>
      <c r="D22" s="6" t="s">
        <v>132</v>
      </c>
      <c r="E22" s="6" t="s">
        <v>106</v>
      </c>
      <c r="F22" s="6" t="s">
        <v>164</v>
      </c>
      <c r="G22" s="7" t="s">
        <v>101</v>
      </c>
      <c r="H22" s="7"/>
      <c r="I22" s="7" t="s">
        <v>108</v>
      </c>
    </row>
    <row r="23" spans="1:9" ht="15" customHeight="1" x14ac:dyDescent="0.3">
      <c r="A23" s="6" t="s">
        <v>27</v>
      </c>
      <c r="B23" s="6" t="s">
        <v>146</v>
      </c>
      <c r="C23" s="6" t="s">
        <v>147</v>
      </c>
      <c r="D23" s="6" t="s">
        <v>132</v>
      </c>
      <c r="E23" s="6" t="s">
        <v>106</v>
      </c>
      <c r="F23" s="6" t="s">
        <v>165</v>
      </c>
      <c r="G23" s="7" t="s">
        <v>101</v>
      </c>
      <c r="H23" s="7"/>
      <c r="I23" s="7" t="s">
        <v>108</v>
      </c>
    </row>
    <row r="24" spans="1:9" ht="23.25" customHeight="1" x14ac:dyDescent="0.3">
      <c r="A24" s="6" t="s">
        <v>31</v>
      </c>
      <c r="B24" s="6" t="s">
        <v>96</v>
      </c>
      <c r="C24" s="6" t="s">
        <v>97</v>
      </c>
      <c r="D24" s="6" t="s">
        <v>98</v>
      </c>
      <c r="E24" s="6" t="s">
        <v>99</v>
      </c>
      <c r="F24" s="6" t="s">
        <v>166</v>
      </c>
      <c r="G24" s="7" t="s">
        <v>101</v>
      </c>
      <c r="H24" s="7"/>
      <c r="I24" s="7" t="s">
        <v>108</v>
      </c>
    </row>
    <row r="25" spans="1:9" ht="34.5" customHeight="1" x14ac:dyDescent="0.3">
      <c r="A25" s="6" t="s">
        <v>31</v>
      </c>
      <c r="B25" s="6" t="s">
        <v>103</v>
      </c>
      <c r="C25" s="6" t="s">
        <v>104</v>
      </c>
      <c r="D25" s="6" t="s">
        <v>105</v>
      </c>
      <c r="E25" s="6" t="s">
        <v>167</v>
      </c>
      <c r="F25" s="6" t="s">
        <v>168</v>
      </c>
      <c r="G25" s="7" t="s">
        <v>101</v>
      </c>
      <c r="H25" s="7"/>
      <c r="I25" s="7" t="s">
        <v>108</v>
      </c>
    </row>
    <row r="26" spans="1:9" ht="34.5" customHeight="1" x14ac:dyDescent="0.3">
      <c r="A26" s="6" t="s">
        <v>31</v>
      </c>
      <c r="B26" s="6" t="s">
        <v>109</v>
      </c>
      <c r="C26" s="6" t="s">
        <v>110</v>
      </c>
      <c r="D26" s="6" t="s">
        <v>111</v>
      </c>
      <c r="E26" s="6" t="s">
        <v>99</v>
      </c>
      <c r="F26" s="6" t="s">
        <v>169</v>
      </c>
      <c r="G26" s="7" t="s">
        <v>101</v>
      </c>
      <c r="H26" s="7"/>
      <c r="I26" s="7" t="s">
        <v>108</v>
      </c>
    </row>
    <row r="27" spans="1:9" ht="23.25" customHeight="1" x14ac:dyDescent="0.3">
      <c r="A27" s="6" t="s">
        <v>31</v>
      </c>
      <c r="B27" s="6" t="s">
        <v>115</v>
      </c>
      <c r="C27" s="6" t="s">
        <v>116</v>
      </c>
      <c r="D27" s="6" t="s">
        <v>117</v>
      </c>
      <c r="E27" s="6" t="s">
        <v>170</v>
      </c>
      <c r="F27" s="6" t="s">
        <v>171</v>
      </c>
      <c r="G27" s="7" t="s">
        <v>101</v>
      </c>
      <c r="H27" s="7"/>
      <c r="I27" s="7" t="s">
        <v>108</v>
      </c>
    </row>
    <row r="28" spans="1:9" ht="23.25" customHeight="1" x14ac:dyDescent="0.3">
      <c r="A28" s="6" t="s">
        <v>31</v>
      </c>
      <c r="B28" s="6" t="s">
        <v>120</v>
      </c>
      <c r="C28" s="6" t="s">
        <v>121</v>
      </c>
      <c r="D28" s="6" t="s">
        <v>122</v>
      </c>
      <c r="E28" s="6" t="s">
        <v>123</v>
      </c>
      <c r="F28" s="6" t="s">
        <v>172</v>
      </c>
      <c r="G28" s="7" t="s">
        <v>101</v>
      </c>
      <c r="H28" s="7"/>
      <c r="I28" s="7" t="s">
        <v>108</v>
      </c>
    </row>
    <row r="29" spans="1:9" ht="23.25" customHeight="1" x14ac:dyDescent="0.3">
      <c r="A29" s="6" t="s">
        <v>31</v>
      </c>
      <c r="B29" s="6" t="s">
        <v>125</v>
      </c>
      <c r="C29" s="6" t="s">
        <v>126</v>
      </c>
      <c r="D29" s="6" t="s">
        <v>127</v>
      </c>
      <c r="E29" s="6" t="s">
        <v>128</v>
      </c>
      <c r="F29" s="6" t="s">
        <v>173</v>
      </c>
      <c r="G29" s="7" t="s">
        <v>101</v>
      </c>
      <c r="H29" s="7"/>
      <c r="I29" s="7" t="s">
        <v>108</v>
      </c>
    </row>
    <row r="30" spans="1:9" ht="23.25" customHeight="1" x14ac:dyDescent="0.3">
      <c r="A30" s="6" t="s">
        <v>31</v>
      </c>
      <c r="B30" s="6" t="s">
        <v>130</v>
      </c>
      <c r="C30" s="6" t="s">
        <v>131</v>
      </c>
      <c r="D30" s="6" t="s">
        <v>132</v>
      </c>
      <c r="E30" s="6" t="s">
        <v>106</v>
      </c>
      <c r="F30" s="6" t="s">
        <v>174</v>
      </c>
      <c r="G30" s="7" t="s">
        <v>101</v>
      </c>
      <c r="H30" s="7"/>
      <c r="I30" s="7" t="s">
        <v>108</v>
      </c>
    </row>
    <row r="31" spans="1:9" ht="23.25" customHeight="1" x14ac:dyDescent="0.3">
      <c r="A31" s="6" t="s">
        <v>31</v>
      </c>
      <c r="B31" s="6" t="s">
        <v>134</v>
      </c>
      <c r="C31" s="6" t="s">
        <v>135</v>
      </c>
      <c r="D31" s="6" t="s">
        <v>105</v>
      </c>
      <c r="E31" s="6" t="s">
        <v>167</v>
      </c>
      <c r="F31" s="6" t="s">
        <v>175</v>
      </c>
      <c r="G31" s="7" t="s">
        <v>101</v>
      </c>
      <c r="H31" s="7"/>
      <c r="I31" s="7" t="s">
        <v>108</v>
      </c>
    </row>
    <row r="32" spans="1:9" ht="34.5" customHeight="1" x14ac:dyDescent="0.3">
      <c r="A32" s="6" t="s">
        <v>31</v>
      </c>
      <c r="B32" s="6" t="s">
        <v>138</v>
      </c>
      <c r="C32" s="6" t="s">
        <v>139</v>
      </c>
      <c r="D32" s="6" t="s">
        <v>140</v>
      </c>
      <c r="E32" s="6" t="s">
        <v>141</v>
      </c>
      <c r="F32" s="6" t="s">
        <v>176</v>
      </c>
      <c r="G32" s="7" t="s">
        <v>101</v>
      </c>
      <c r="H32" s="7"/>
      <c r="I32" s="7" t="s">
        <v>108</v>
      </c>
    </row>
    <row r="33" spans="1:9" ht="34.5" customHeight="1" x14ac:dyDescent="0.3">
      <c r="A33" s="6" t="s">
        <v>31</v>
      </c>
      <c r="B33" s="6" t="s">
        <v>143</v>
      </c>
      <c r="C33" s="6" t="s">
        <v>144</v>
      </c>
      <c r="D33" s="6" t="s">
        <v>132</v>
      </c>
      <c r="E33" s="6" t="s">
        <v>106</v>
      </c>
      <c r="F33" s="6" t="s">
        <v>177</v>
      </c>
      <c r="G33" s="7" t="s">
        <v>101</v>
      </c>
      <c r="H33" s="7"/>
      <c r="I33" s="7" t="s">
        <v>108</v>
      </c>
    </row>
    <row r="34" spans="1:9" ht="15" customHeight="1" x14ac:dyDescent="0.3">
      <c r="A34" s="6" t="s">
        <v>31</v>
      </c>
      <c r="B34" s="6" t="s">
        <v>146</v>
      </c>
      <c r="C34" s="6" t="s">
        <v>147</v>
      </c>
      <c r="D34" s="6" t="s">
        <v>132</v>
      </c>
      <c r="E34" s="6" t="s">
        <v>106</v>
      </c>
      <c r="F34" s="6" t="s">
        <v>178</v>
      </c>
      <c r="G34" s="7" t="s">
        <v>101</v>
      </c>
      <c r="H34" s="7"/>
      <c r="I34" s="7" t="s">
        <v>108</v>
      </c>
    </row>
    <row r="35" spans="1:9" ht="23.25" customHeight="1" x14ac:dyDescent="0.3">
      <c r="A35" s="6" t="s">
        <v>35</v>
      </c>
      <c r="B35" s="6" t="s">
        <v>96</v>
      </c>
      <c r="C35" s="6" t="s">
        <v>97</v>
      </c>
      <c r="D35" s="6" t="s">
        <v>98</v>
      </c>
      <c r="E35" s="6" t="s">
        <v>99</v>
      </c>
      <c r="F35" s="6" t="s">
        <v>179</v>
      </c>
      <c r="G35" s="7" t="s">
        <v>101</v>
      </c>
      <c r="H35" s="7"/>
      <c r="I35" s="7" t="s">
        <v>108</v>
      </c>
    </row>
    <row r="36" spans="1:9" ht="34.5" customHeight="1" x14ac:dyDescent="0.3">
      <c r="A36" s="6" t="s">
        <v>35</v>
      </c>
      <c r="B36" s="6" t="s">
        <v>103</v>
      </c>
      <c r="C36" s="6" t="s">
        <v>104</v>
      </c>
      <c r="D36" s="6" t="s">
        <v>105</v>
      </c>
      <c r="E36" s="6" t="s">
        <v>167</v>
      </c>
      <c r="F36" s="6" t="s">
        <v>180</v>
      </c>
      <c r="G36" s="7" t="s">
        <v>101</v>
      </c>
      <c r="H36" s="7"/>
      <c r="I36" s="7" t="s">
        <v>108</v>
      </c>
    </row>
    <row r="37" spans="1:9" ht="34.5" customHeight="1" x14ac:dyDescent="0.3">
      <c r="A37" s="6" t="s">
        <v>35</v>
      </c>
      <c r="B37" s="6" t="s">
        <v>109</v>
      </c>
      <c r="C37" s="6" t="s">
        <v>110</v>
      </c>
      <c r="D37" s="6" t="s">
        <v>111</v>
      </c>
      <c r="E37" s="6" t="s">
        <v>99</v>
      </c>
      <c r="F37" s="6" t="s">
        <v>181</v>
      </c>
      <c r="G37" s="7" t="s">
        <v>101</v>
      </c>
      <c r="H37" s="7"/>
      <c r="I37" s="7" t="s">
        <v>108</v>
      </c>
    </row>
    <row r="38" spans="1:9" ht="23.25" customHeight="1" x14ac:dyDescent="0.3">
      <c r="A38" s="6" t="s">
        <v>35</v>
      </c>
      <c r="B38" s="6" t="s">
        <v>115</v>
      </c>
      <c r="C38" s="6" t="s">
        <v>116</v>
      </c>
      <c r="D38" s="6" t="s">
        <v>117</v>
      </c>
      <c r="E38" s="6" t="s">
        <v>182</v>
      </c>
      <c r="F38" s="6" t="s">
        <v>183</v>
      </c>
      <c r="G38" s="7" t="s">
        <v>101</v>
      </c>
      <c r="H38" s="7"/>
      <c r="I38" s="7" t="s">
        <v>108</v>
      </c>
    </row>
    <row r="39" spans="1:9" ht="23.25" customHeight="1" x14ac:dyDescent="0.3">
      <c r="A39" s="6" t="s">
        <v>35</v>
      </c>
      <c r="B39" s="6" t="s">
        <v>120</v>
      </c>
      <c r="C39" s="6" t="s">
        <v>121</v>
      </c>
      <c r="D39" s="6" t="s">
        <v>122</v>
      </c>
      <c r="E39" s="6" t="s">
        <v>123</v>
      </c>
      <c r="F39" s="6" t="s">
        <v>184</v>
      </c>
      <c r="G39" s="7" t="s">
        <v>101</v>
      </c>
      <c r="H39" s="7"/>
      <c r="I39" s="7" t="s">
        <v>108</v>
      </c>
    </row>
    <row r="40" spans="1:9" ht="23.25" customHeight="1" x14ac:dyDescent="0.3">
      <c r="A40" s="6" t="s">
        <v>35</v>
      </c>
      <c r="B40" s="6" t="s">
        <v>125</v>
      </c>
      <c r="C40" s="6" t="s">
        <v>126</v>
      </c>
      <c r="D40" s="6" t="s">
        <v>127</v>
      </c>
      <c r="E40" s="6" t="s">
        <v>128</v>
      </c>
      <c r="F40" s="6" t="s">
        <v>185</v>
      </c>
      <c r="G40" s="7" t="s">
        <v>101</v>
      </c>
      <c r="H40" s="7"/>
      <c r="I40" s="7" t="s">
        <v>108</v>
      </c>
    </row>
    <row r="41" spans="1:9" ht="23.25" customHeight="1" x14ac:dyDescent="0.3">
      <c r="A41" s="6" t="s">
        <v>35</v>
      </c>
      <c r="B41" s="6" t="s">
        <v>130</v>
      </c>
      <c r="C41" s="6" t="s">
        <v>131</v>
      </c>
      <c r="D41" s="6" t="s">
        <v>132</v>
      </c>
      <c r="E41" s="6" t="s">
        <v>106</v>
      </c>
      <c r="F41" s="6" t="s">
        <v>186</v>
      </c>
      <c r="G41" s="7" t="s">
        <v>101</v>
      </c>
      <c r="H41" s="7"/>
      <c r="I41" s="7" t="s">
        <v>108</v>
      </c>
    </row>
    <row r="42" spans="1:9" ht="23.25" customHeight="1" x14ac:dyDescent="0.3">
      <c r="A42" s="6" t="s">
        <v>35</v>
      </c>
      <c r="B42" s="6" t="s">
        <v>134</v>
      </c>
      <c r="C42" s="6" t="s">
        <v>135</v>
      </c>
      <c r="D42" s="6" t="s">
        <v>105</v>
      </c>
      <c r="E42" s="6" t="s">
        <v>167</v>
      </c>
      <c r="F42" s="6" t="s">
        <v>187</v>
      </c>
      <c r="G42" s="7" t="s">
        <v>101</v>
      </c>
      <c r="H42" s="7"/>
      <c r="I42" s="7" t="s">
        <v>108</v>
      </c>
    </row>
    <row r="43" spans="1:9" ht="34.5" customHeight="1" x14ac:dyDescent="0.3">
      <c r="A43" s="6" t="s">
        <v>35</v>
      </c>
      <c r="B43" s="6" t="s">
        <v>138</v>
      </c>
      <c r="C43" s="6" t="s">
        <v>139</v>
      </c>
      <c r="D43" s="6" t="s">
        <v>140</v>
      </c>
      <c r="E43" s="6" t="s">
        <v>141</v>
      </c>
      <c r="F43" s="6" t="s">
        <v>188</v>
      </c>
      <c r="G43" s="7" t="s">
        <v>101</v>
      </c>
      <c r="H43" s="7"/>
      <c r="I43" s="7" t="s">
        <v>108</v>
      </c>
    </row>
    <row r="44" spans="1:9" ht="34.5" customHeight="1" x14ac:dyDescent="0.3">
      <c r="A44" s="6" t="s">
        <v>35</v>
      </c>
      <c r="B44" s="6" t="s">
        <v>143</v>
      </c>
      <c r="C44" s="6" t="s">
        <v>144</v>
      </c>
      <c r="D44" s="6" t="s">
        <v>132</v>
      </c>
      <c r="E44" s="6" t="s">
        <v>106</v>
      </c>
      <c r="F44" s="6" t="s">
        <v>189</v>
      </c>
      <c r="G44" s="7" t="s">
        <v>101</v>
      </c>
      <c r="H44" s="7"/>
      <c r="I44" s="7" t="s">
        <v>108</v>
      </c>
    </row>
    <row r="45" spans="1:9" ht="15" customHeight="1" x14ac:dyDescent="0.3">
      <c r="A45" s="6" t="s">
        <v>35</v>
      </c>
      <c r="B45" s="6" t="s">
        <v>146</v>
      </c>
      <c r="C45" s="6" t="s">
        <v>147</v>
      </c>
      <c r="D45" s="6" t="s">
        <v>132</v>
      </c>
      <c r="E45" s="6" t="s">
        <v>106</v>
      </c>
      <c r="F45" s="6" t="s">
        <v>190</v>
      </c>
      <c r="G45" s="7" t="s">
        <v>101</v>
      </c>
      <c r="H45" s="7"/>
      <c r="I45" s="7" t="s">
        <v>108</v>
      </c>
    </row>
    <row r="46" spans="1:9" ht="34.5" customHeight="1" x14ac:dyDescent="0.3">
      <c r="A46" s="6" t="s">
        <v>39</v>
      </c>
      <c r="B46" s="6" t="s">
        <v>96</v>
      </c>
      <c r="C46" s="6" t="s">
        <v>97</v>
      </c>
      <c r="D46" s="6" t="s">
        <v>98</v>
      </c>
      <c r="E46" s="6" t="s">
        <v>99</v>
      </c>
      <c r="F46" s="6" t="s">
        <v>191</v>
      </c>
      <c r="G46" s="7" t="s">
        <v>101</v>
      </c>
      <c r="H46" s="7"/>
      <c r="I46" s="7" t="s">
        <v>192</v>
      </c>
    </row>
    <row r="47" spans="1:9" ht="34.5" customHeight="1" x14ac:dyDescent="0.3">
      <c r="A47" s="6" t="s">
        <v>39</v>
      </c>
      <c r="B47" s="6" t="s">
        <v>103</v>
      </c>
      <c r="C47" s="6" t="s">
        <v>104</v>
      </c>
      <c r="D47" s="6" t="s">
        <v>105</v>
      </c>
      <c r="E47" s="6" t="s">
        <v>106</v>
      </c>
      <c r="F47" s="6" t="s">
        <v>193</v>
      </c>
      <c r="G47" s="7" t="s">
        <v>101</v>
      </c>
      <c r="H47" s="7"/>
      <c r="I47" s="7" t="s">
        <v>108</v>
      </c>
    </row>
    <row r="48" spans="1:9" ht="34.5" customHeight="1" x14ac:dyDescent="0.3">
      <c r="A48" s="6" t="s">
        <v>39</v>
      </c>
      <c r="B48" s="6" t="s">
        <v>109</v>
      </c>
      <c r="C48" s="6" t="s">
        <v>110</v>
      </c>
      <c r="D48" s="6" t="s">
        <v>111</v>
      </c>
      <c r="E48" s="6" t="s">
        <v>99</v>
      </c>
      <c r="F48" s="6" t="s">
        <v>194</v>
      </c>
      <c r="G48" s="7" t="s">
        <v>101</v>
      </c>
      <c r="H48" s="7"/>
      <c r="I48" s="7" t="s">
        <v>108</v>
      </c>
    </row>
    <row r="49" spans="1:9" ht="34.5" customHeight="1" x14ac:dyDescent="0.3">
      <c r="A49" s="6" t="s">
        <v>39</v>
      </c>
      <c r="B49" s="6" t="s">
        <v>115</v>
      </c>
      <c r="C49" s="6" t="s">
        <v>116</v>
      </c>
      <c r="D49" s="6" t="s">
        <v>117</v>
      </c>
      <c r="E49" s="6" t="s">
        <v>182</v>
      </c>
      <c r="F49" s="6" t="s">
        <v>195</v>
      </c>
      <c r="G49" s="7" t="s">
        <v>101</v>
      </c>
      <c r="H49" s="7"/>
      <c r="I49" s="7" t="s">
        <v>108</v>
      </c>
    </row>
    <row r="50" spans="1:9" ht="23.25" customHeight="1" x14ac:dyDescent="0.3">
      <c r="A50" s="6" t="s">
        <v>39</v>
      </c>
      <c r="B50" s="6" t="s">
        <v>120</v>
      </c>
      <c r="C50" s="6" t="s">
        <v>121</v>
      </c>
      <c r="D50" s="6" t="s">
        <v>122</v>
      </c>
      <c r="E50" s="6" t="s">
        <v>123</v>
      </c>
      <c r="F50" s="6" t="s">
        <v>196</v>
      </c>
      <c r="G50" s="7" t="s">
        <v>101</v>
      </c>
      <c r="H50" s="7"/>
      <c r="I50" s="7" t="s">
        <v>108</v>
      </c>
    </row>
    <row r="51" spans="1:9" ht="23.25" customHeight="1" x14ac:dyDescent="0.3">
      <c r="A51" s="6" t="s">
        <v>39</v>
      </c>
      <c r="B51" s="6" t="s">
        <v>125</v>
      </c>
      <c r="C51" s="6" t="s">
        <v>126</v>
      </c>
      <c r="D51" s="6" t="s">
        <v>127</v>
      </c>
      <c r="E51" s="6" t="s">
        <v>128</v>
      </c>
      <c r="F51" s="6" t="s">
        <v>197</v>
      </c>
      <c r="G51" s="7" t="s">
        <v>101</v>
      </c>
      <c r="H51" s="7"/>
      <c r="I51" s="7" t="s">
        <v>108</v>
      </c>
    </row>
    <row r="52" spans="1:9" ht="23.25" customHeight="1" x14ac:dyDescent="0.3">
      <c r="A52" s="6" t="s">
        <v>39</v>
      </c>
      <c r="B52" s="6" t="s">
        <v>130</v>
      </c>
      <c r="C52" s="6" t="s">
        <v>131</v>
      </c>
      <c r="D52" s="6" t="s">
        <v>132</v>
      </c>
      <c r="E52" s="6" t="s">
        <v>106</v>
      </c>
      <c r="F52" s="6" t="s">
        <v>198</v>
      </c>
      <c r="G52" s="7" t="s">
        <v>101</v>
      </c>
      <c r="H52" s="7"/>
      <c r="I52" s="7" t="s">
        <v>108</v>
      </c>
    </row>
    <row r="53" spans="1:9" ht="23.25" customHeight="1" x14ac:dyDescent="0.3">
      <c r="A53" s="6" t="s">
        <v>39</v>
      </c>
      <c r="B53" s="6" t="s">
        <v>134</v>
      </c>
      <c r="C53" s="6" t="s">
        <v>135</v>
      </c>
      <c r="D53" s="6" t="s">
        <v>105</v>
      </c>
      <c r="E53" s="6" t="s">
        <v>167</v>
      </c>
      <c r="F53" s="6" t="s">
        <v>199</v>
      </c>
      <c r="G53" s="7" t="s">
        <v>101</v>
      </c>
      <c r="H53" s="7"/>
      <c r="I53" s="7" t="s">
        <v>200</v>
      </c>
    </row>
    <row r="54" spans="1:9" ht="34.5" customHeight="1" x14ac:dyDescent="0.3">
      <c r="A54" s="6" t="s">
        <v>39</v>
      </c>
      <c r="B54" s="6" t="s">
        <v>138</v>
      </c>
      <c r="C54" s="6" t="s">
        <v>139</v>
      </c>
      <c r="D54" s="6" t="s">
        <v>140</v>
      </c>
      <c r="E54" s="6" t="s">
        <v>141</v>
      </c>
      <c r="F54" s="6" t="s">
        <v>201</v>
      </c>
      <c r="G54" s="7" t="s">
        <v>101</v>
      </c>
      <c r="H54" s="7"/>
      <c r="I54" s="7" t="s">
        <v>108</v>
      </c>
    </row>
    <row r="55" spans="1:9" ht="34.5" customHeight="1" x14ac:dyDescent="0.3">
      <c r="A55" s="6" t="s">
        <v>39</v>
      </c>
      <c r="B55" s="6" t="s">
        <v>143</v>
      </c>
      <c r="C55" s="6" t="s">
        <v>144</v>
      </c>
      <c r="D55" s="6" t="s">
        <v>132</v>
      </c>
      <c r="E55" s="6" t="s">
        <v>106</v>
      </c>
      <c r="F55" s="6" t="s">
        <v>202</v>
      </c>
      <c r="G55" s="7" t="s">
        <v>101</v>
      </c>
      <c r="H55" s="7"/>
      <c r="I55" s="7" t="s">
        <v>108</v>
      </c>
    </row>
    <row r="56" spans="1:9" ht="23.25" customHeight="1" x14ac:dyDescent="0.3">
      <c r="A56" s="6" t="s">
        <v>39</v>
      </c>
      <c r="B56" s="6" t="s">
        <v>146</v>
      </c>
      <c r="C56" s="6" t="s">
        <v>147</v>
      </c>
      <c r="D56" s="6" t="s">
        <v>132</v>
      </c>
      <c r="E56" s="6" t="s">
        <v>106</v>
      </c>
      <c r="F56" s="6" t="s">
        <v>203</v>
      </c>
      <c r="G56" s="7" t="s">
        <v>101</v>
      </c>
      <c r="H56" s="7"/>
      <c r="I56" s="7" t="s">
        <v>108</v>
      </c>
    </row>
    <row r="57" spans="1:9" ht="34.5" customHeight="1" x14ac:dyDescent="0.3">
      <c r="A57" s="6" t="s">
        <v>43</v>
      </c>
      <c r="B57" s="6" t="s">
        <v>96</v>
      </c>
      <c r="C57" s="6" t="s">
        <v>97</v>
      </c>
      <c r="D57" s="6" t="s">
        <v>98</v>
      </c>
      <c r="E57" s="6" t="s">
        <v>99</v>
      </c>
      <c r="F57" s="6" t="s">
        <v>204</v>
      </c>
      <c r="G57" s="7" t="s">
        <v>101</v>
      </c>
      <c r="H57" s="7"/>
      <c r="I57" s="7" t="s">
        <v>108</v>
      </c>
    </row>
    <row r="58" spans="1:9" ht="34.5" customHeight="1" x14ac:dyDescent="0.3">
      <c r="A58" s="6" t="s">
        <v>43</v>
      </c>
      <c r="B58" s="6" t="s">
        <v>103</v>
      </c>
      <c r="C58" s="6" t="s">
        <v>104</v>
      </c>
      <c r="D58" s="6" t="s">
        <v>105</v>
      </c>
      <c r="E58" s="6" t="s">
        <v>106</v>
      </c>
      <c r="F58" s="6" t="s">
        <v>205</v>
      </c>
      <c r="G58" s="7" t="s">
        <v>101</v>
      </c>
      <c r="H58" s="7"/>
      <c r="I58" s="7" t="s">
        <v>108</v>
      </c>
    </row>
    <row r="59" spans="1:9" ht="34.5" customHeight="1" x14ac:dyDescent="0.3">
      <c r="A59" s="6" t="s">
        <v>43</v>
      </c>
      <c r="B59" s="6" t="s">
        <v>109</v>
      </c>
      <c r="C59" s="6" t="s">
        <v>110</v>
      </c>
      <c r="D59" s="6" t="s">
        <v>111</v>
      </c>
      <c r="E59" s="6" t="s">
        <v>112</v>
      </c>
      <c r="F59" s="6" t="s">
        <v>206</v>
      </c>
      <c r="G59" s="7" t="s">
        <v>101</v>
      </c>
      <c r="H59" s="7"/>
      <c r="I59" s="7" t="s">
        <v>108</v>
      </c>
    </row>
    <row r="60" spans="1:9" ht="23.25" customHeight="1" x14ac:dyDescent="0.3">
      <c r="A60" s="6" t="s">
        <v>43</v>
      </c>
      <c r="B60" s="6" t="s">
        <v>115</v>
      </c>
      <c r="C60" s="6" t="s">
        <v>116</v>
      </c>
      <c r="D60" s="6" t="s">
        <v>117</v>
      </c>
      <c r="E60" s="6" t="s">
        <v>182</v>
      </c>
      <c r="F60" s="6" t="s">
        <v>207</v>
      </c>
      <c r="G60" s="7" t="s">
        <v>101</v>
      </c>
      <c r="H60" s="7"/>
      <c r="I60" s="7" t="s">
        <v>108</v>
      </c>
    </row>
    <row r="61" spans="1:9" ht="34.5" customHeight="1" x14ac:dyDescent="0.3">
      <c r="A61" s="6" t="s">
        <v>43</v>
      </c>
      <c r="B61" s="6" t="s">
        <v>120</v>
      </c>
      <c r="C61" s="6" t="s">
        <v>121</v>
      </c>
      <c r="D61" s="6" t="s">
        <v>122</v>
      </c>
      <c r="E61" s="6" t="s">
        <v>123</v>
      </c>
      <c r="F61" s="6" t="s">
        <v>208</v>
      </c>
      <c r="G61" s="7" t="s">
        <v>101</v>
      </c>
      <c r="H61" s="7"/>
      <c r="I61" s="7" t="s">
        <v>108</v>
      </c>
    </row>
    <row r="62" spans="1:9" ht="34.5" customHeight="1" x14ac:dyDescent="0.3">
      <c r="A62" s="6" t="s">
        <v>43</v>
      </c>
      <c r="B62" s="6" t="s">
        <v>125</v>
      </c>
      <c r="C62" s="6" t="s">
        <v>126</v>
      </c>
      <c r="D62" s="6" t="s">
        <v>127</v>
      </c>
      <c r="E62" s="6" t="s">
        <v>128</v>
      </c>
      <c r="F62" s="6" t="s">
        <v>209</v>
      </c>
      <c r="G62" s="7" t="s">
        <v>101</v>
      </c>
      <c r="H62" s="7"/>
      <c r="I62" s="7" t="s">
        <v>108</v>
      </c>
    </row>
    <row r="63" spans="1:9" ht="23.25" customHeight="1" x14ac:dyDescent="0.3">
      <c r="A63" s="6" t="s">
        <v>43</v>
      </c>
      <c r="B63" s="6" t="s">
        <v>130</v>
      </c>
      <c r="C63" s="6" t="s">
        <v>131</v>
      </c>
      <c r="D63" s="6" t="s">
        <v>132</v>
      </c>
      <c r="E63" s="6" t="s">
        <v>106</v>
      </c>
      <c r="F63" s="6" t="s">
        <v>210</v>
      </c>
      <c r="G63" s="7" t="s">
        <v>101</v>
      </c>
      <c r="H63" s="7"/>
      <c r="I63" s="7" t="s">
        <v>108</v>
      </c>
    </row>
    <row r="64" spans="1:9" ht="23.25" customHeight="1" x14ac:dyDescent="0.3">
      <c r="A64" s="6" t="s">
        <v>43</v>
      </c>
      <c r="B64" s="6" t="s">
        <v>134</v>
      </c>
      <c r="C64" s="6" t="s">
        <v>135</v>
      </c>
      <c r="D64" s="6" t="s">
        <v>105</v>
      </c>
      <c r="E64" s="6" t="s">
        <v>160</v>
      </c>
      <c r="F64" s="6" t="s">
        <v>211</v>
      </c>
      <c r="G64" s="7" t="s">
        <v>101</v>
      </c>
      <c r="H64" s="7"/>
      <c r="I64" s="7" t="s">
        <v>212</v>
      </c>
    </row>
    <row r="65" spans="1:9" ht="34.5" customHeight="1" x14ac:dyDescent="0.3">
      <c r="A65" s="6" t="s">
        <v>43</v>
      </c>
      <c r="B65" s="6" t="s">
        <v>138</v>
      </c>
      <c r="C65" s="6" t="s">
        <v>139</v>
      </c>
      <c r="D65" s="6" t="s">
        <v>140</v>
      </c>
      <c r="E65" s="6" t="s">
        <v>141</v>
      </c>
      <c r="F65" s="6" t="s">
        <v>213</v>
      </c>
      <c r="G65" s="7" t="s">
        <v>154</v>
      </c>
      <c r="H65" s="7" t="s">
        <v>214</v>
      </c>
      <c r="I65" s="7" t="s">
        <v>215</v>
      </c>
    </row>
    <row r="66" spans="1:9" ht="34.5" customHeight="1" x14ac:dyDescent="0.3">
      <c r="A66" s="6" t="s">
        <v>43</v>
      </c>
      <c r="B66" s="6" t="s">
        <v>143</v>
      </c>
      <c r="C66" s="6" t="s">
        <v>144</v>
      </c>
      <c r="D66" s="6" t="s">
        <v>132</v>
      </c>
      <c r="E66" s="6" t="s">
        <v>106</v>
      </c>
      <c r="F66" s="6" t="s">
        <v>216</v>
      </c>
      <c r="G66" s="7" t="s">
        <v>101</v>
      </c>
      <c r="H66" s="7"/>
      <c r="I66" s="7" t="s">
        <v>108</v>
      </c>
    </row>
    <row r="67" spans="1:9" ht="15" customHeight="1" x14ac:dyDescent="0.3">
      <c r="A67" s="6" t="s">
        <v>43</v>
      </c>
      <c r="B67" s="6" t="s">
        <v>146</v>
      </c>
      <c r="C67" s="6" t="s">
        <v>147</v>
      </c>
      <c r="D67" s="6" t="s">
        <v>132</v>
      </c>
      <c r="E67" s="6" t="s">
        <v>106</v>
      </c>
      <c r="F67" s="6" t="s">
        <v>217</v>
      </c>
      <c r="G67" s="7" t="s">
        <v>101</v>
      </c>
      <c r="H67" s="7"/>
      <c r="I67" s="7" t="s">
        <v>108</v>
      </c>
    </row>
    <row r="68" spans="1:9" ht="23.25" customHeight="1" x14ac:dyDescent="0.3">
      <c r="A68" s="6" t="s">
        <v>47</v>
      </c>
      <c r="B68" s="6" t="s">
        <v>96</v>
      </c>
      <c r="C68" s="6" t="s">
        <v>97</v>
      </c>
      <c r="D68" s="6" t="s">
        <v>98</v>
      </c>
      <c r="E68" s="6" t="s">
        <v>99</v>
      </c>
      <c r="F68" s="6" t="s">
        <v>218</v>
      </c>
      <c r="G68" s="7" t="s">
        <v>101</v>
      </c>
      <c r="H68" s="7"/>
      <c r="I68" s="7" t="s">
        <v>108</v>
      </c>
    </row>
    <row r="69" spans="1:9" ht="34.5" customHeight="1" x14ac:dyDescent="0.3">
      <c r="A69" s="6" t="s">
        <v>47</v>
      </c>
      <c r="B69" s="6" t="s">
        <v>103</v>
      </c>
      <c r="C69" s="6" t="s">
        <v>104</v>
      </c>
      <c r="D69" s="6" t="s">
        <v>105</v>
      </c>
      <c r="E69" s="6" t="s">
        <v>167</v>
      </c>
      <c r="F69" s="6" t="s">
        <v>219</v>
      </c>
      <c r="G69" s="7" t="s">
        <v>101</v>
      </c>
      <c r="H69" s="7"/>
      <c r="I69" s="7" t="s">
        <v>108</v>
      </c>
    </row>
    <row r="70" spans="1:9" ht="34.5" customHeight="1" x14ac:dyDescent="0.3">
      <c r="A70" s="6" t="s">
        <v>47</v>
      </c>
      <c r="B70" s="6" t="s">
        <v>109</v>
      </c>
      <c r="C70" s="6" t="s">
        <v>110</v>
      </c>
      <c r="D70" s="6" t="s">
        <v>111</v>
      </c>
      <c r="E70" s="6" t="s">
        <v>99</v>
      </c>
      <c r="F70" s="6" t="s">
        <v>220</v>
      </c>
      <c r="G70" s="7" t="s">
        <v>101</v>
      </c>
      <c r="H70" s="7"/>
      <c r="I70" s="7" t="s">
        <v>108</v>
      </c>
    </row>
    <row r="71" spans="1:9" ht="34.5" customHeight="1" x14ac:dyDescent="0.3">
      <c r="A71" s="6" t="s">
        <v>47</v>
      </c>
      <c r="B71" s="6" t="s">
        <v>115</v>
      </c>
      <c r="C71" s="6" t="s">
        <v>116</v>
      </c>
      <c r="D71" s="6" t="s">
        <v>117</v>
      </c>
      <c r="E71" s="6" t="s">
        <v>170</v>
      </c>
      <c r="F71" s="6" t="s">
        <v>221</v>
      </c>
      <c r="G71" s="7" t="s">
        <v>154</v>
      </c>
      <c r="H71" s="7" t="s">
        <v>182</v>
      </c>
      <c r="I71" s="7" t="s">
        <v>222</v>
      </c>
    </row>
    <row r="72" spans="1:9" ht="34.5" customHeight="1" x14ac:dyDescent="0.3">
      <c r="A72" s="6" t="s">
        <v>47</v>
      </c>
      <c r="B72" s="6" t="s">
        <v>120</v>
      </c>
      <c r="C72" s="6" t="s">
        <v>121</v>
      </c>
      <c r="D72" s="6" t="s">
        <v>122</v>
      </c>
      <c r="E72" s="6" t="s">
        <v>123</v>
      </c>
      <c r="F72" s="6" t="s">
        <v>223</v>
      </c>
      <c r="G72" s="7" t="s">
        <v>101</v>
      </c>
      <c r="H72" s="7"/>
      <c r="I72" s="7" t="s">
        <v>108</v>
      </c>
    </row>
    <row r="73" spans="1:9" ht="34.5" customHeight="1" x14ac:dyDescent="0.3">
      <c r="A73" s="6" t="s">
        <v>47</v>
      </c>
      <c r="B73" s="6" t="s">
        <v>125</v>
      </c>
      <c r="C73" s="6" t="s">
        <v>126</v>
      </c>
      <c r="D73" s="6" t="s">
        <v>127</v>
      </c>
      <c r="E73" s="6" t="s">
        <v>128</v>
      </c>
      <c r="F73" s="6" t="s">
        <v>224</v>
      </c>
      <c r="G73" s="7" t="s">
        <v>101</v>
      </c>
      <c r="H73" s="7"/>
      <c r="I73" s="7" t="s">
        <v>108</v>
      </c>
    </row>
    <row r="74" spans="1:9" ht="23.25" customHeight="1" x14ac:dyDescent="0.3">
      <c r="A74" s="6" t="s">
        <v>47</v>
      </c>
      <c r="B74" s="6" t="s">
        <v>130</v>
      </c>
      <c r="C74" s="6" t="s">
        <v>131</v>
      </c>
      <c r="D74" s="6" t="s">
        <v>132</v>
      </c>
      <c r="E74" s="6" t="s">
        <v>160</v>
      </c>
      <c r="F74" s="6" t="s">
        <v>225</v>
      </c>
      <c r="G74" s="7" t="s">
        <v>101</v>
      </c>
      <c r="H74" s="7"/>
      <c r="I74" s="7" t="s">
        <v>108</v>
      </c>
    </row>
    <row r="75" spans="1:9" ht="34.5" customHeight="1" x14ac:dyDescent="0.3">
      <c r="A75" s="6" t="s">
        <v>47</v>
      </c>
      <c r="B75" s="6" t="s">
        <v>134</v>
      </c>
      <c r="C75" s="6" t="s">
        <v>135</v>
      </c>
      <c r="D75" s="6" t="s">
        <v>105</v>
      </c>
      <c r="E75" s="6" t="s">
        <v>167</v>
      </c>
      <c r="F75" s="6" t="s">
        <v>226</v>
      </c>
      <c r="G75" s="7" t="s">
        <v>154</v>
      </c>
      <c r="H75" s="7" t="s">
        <v>160</v>
      </c>
      <c r="I75" s="7" t="s">
        <v>227</v>
      </c>
    </row>
    <row r="76" spans="1:9" ht="34.5" customHeight="1" x14ac:dyDescent="0.3">
      <c r="A76" s="6" t="s">
        <v>47</v>
      </c>
      <c r="B76" s="6" t="s">
        <v>138</v>
      </c>
      <c r="C76" s="6" t="s">
        <v>139</v>
      </c>
      <c r="D76" s="6" t="s">
        <v>140</v>
      </c>
      <c r="E76" s="6" t="s">
        <v>141</v>
      </c>
      <c r="F76" s="6" t="s">
        <v>228</v>
      </c>
      <c r="G76" s="7" t="s">
        <v>154</v>
      </c>
      <c r="H76" s="7" t="s">
        <v>229</v>
      </c>
      <c r="I76" s="7" t="s">
        <v>230</v>
      </c>
    </row>
    <row r="77" spans="1:9" ht="34.5" customHeight="1" x14ac:dyDescent="0.3">
      <c r="A77" s="6" t="s">
        <v>47</v>
      </c>
      <c r="B77" s="6" t="s">
        <v>143</v>
      </c>
      <c r="C77" s="6" t="s">
        <v>144</v>
      </c>
      <c r="D77" s="6" t="s">
        <v>132</v>
      </c>
      <c r="E77" s="6" t="s">
        <v>106</v>
      </c>
      <c r="F77" s="6" t="s">
        <v>231</v>
      </c>
      <c r="G77" s="7" t="s">
        <v>101</v>
      </c>
      <c r="H77" s="7"/>
      <c r="I77" s="7" t="s">
        <v>232</v>
      </c>
    </row>
    <row r="78" spans="1:9" ht="34.5" customHeight="1" x14ac:dyDescent="0.3">
      <c r="A78" s="6" t="s">
        <v>47</v>
      </c>
      <c r="B78" s="6" t="s">
        <v>146</v>
      </c>
      <c r="C78" s="6" t="s">
        <v>147</v>
      </c>
      <c r="D78" s="6" t="s">
        <v>132</v>
      </c>
      <c r="E78" s="6" t="s">
        <v>160</v>
      </c>
      <c r="F78" s="6" t="s">
        <v>233</v>
      </c>
      <c r="G78" s="7" t="s">
        <v>101</v>
      </c>
      <c r="H78" s="7"/>
      <c r="I78" s="7" t="s">
        <v>108</v>
      </c>
    </row>
    <row r="79" spans="1:9" ht="34.5" customHeight="1" x14ac:dyDescent="0.3">
      <c r="A79" s="6" t="s">
        <v>51</v>
      </c>
      <c r="B79" s="6" t="s">
        <v>96</v>
      </c>
      <c r="C79" s="6" t="s">
        <v>97</v>
      </c>
      <c r="D79" s="6" t="s">
        <v>98</v>
      </c>
      <c r="E79" s="6" t="s">
        <v>99</v>
      </c>
      <c r="F79" s="6" t="s">
        <v>234</v>
      </c>
      <c r="G79" s="7" t="s">
        <v>101</v>
      </c>
      <c r="H79" s="7"/>
      <c r="I79" s="7" t="s">
        <v>108</v>
      </c>
    </row>
    <row r="80" spans="1:9" ht="34.5" customHeight="1" x14ac:dyDescent="0.3">
      <c r="A80" s="6" t="s">
        <v>51</v>
      </c>
      <c r="B80" s="6" t="s">
        <v>103</v>
      </c>
      <c r="C80" s="6" t="s">
        <v>104</v>
      </c>
      <c r="D80" s="6" t="s">
        <v>105</v>
      </c>
      <c r="E80" s="6" t="s">
        <v>106</v>
      </c>
      <c r="F80" s="6" t="s">
        <v>235</v>
      </c>
      <c r="G80" s="7" t="s">
        <v>101</v>
      </c>
      <c r="H80" s="7"/>
      <c r="I80" s="7" t="s">
        <v>108</v>
      </c>
    </row>
    <row r="81" spans="1:9" ht="34.5" customHeight="1" x14ac:dyDescent="0.3">
      <c r="A81" s="6" t="s">
        <v>51</v>
      </c>
      <c r="B81" s="6" t="s">
        <v>109</v>
      </c>
      <c r="C81" s="6" t="s">
        <v>110</v>
      </c>
      <c r="D81" s="6" t="s">
        <v>111</v>
      </c>
      <c r="E81" s="6" t="s">
        <v>99</v>
      </c>
      <c r="F81" s="6" t="s">
        <v>236</v>
      </c>
      <c r="G81" s="7" t="s">
        <v>101</v>
      </c>
      <c r="H81" s="7"/>
      <c r="I81" s="7" t="s">
        <v>108</v>
      </c>
    </row>
    <row r="82" spans="1:9" ht="23.25" customHeight="1" x14ac:dyDescent="0.3">
      <c r="A82" s="6" t="s">
        <v>51</v>
      </c>
      <c r="B82" s="6" t="s">
        <v>115</v>
      </c>
      <c r="C82" s="6" t="s">
        <v>116</v>
      </c>
      <c r="D82" s="6" t="s">
        <v>117</v>
      </c>
      <c r="E82" s="6" t="s">
        <v>118</v>
      </c>
      <c r="F82" s="6" t="s">
        <v>237</v>
      </c>
      <c r="G82" s="7" t="s">
        <v>101</v>
      </c>
      <c r="H82" s="7"/>
      <c r="I82" s="7" t="s">
        <v>108</v>
      </c>
    </row>
    <row r="83" spans="1:9" ht="45.75" customHeight="1" x14ac:dyDescent="0.3">
      <c r="A83" s="6" t="s">
        <v>51</v>
      </c>
      <c r="B83" s="6" t="s">
        <v>120</v>
      </c>
      <c r="C83" s="6" t="s">
        <v>121</v>
      </c>
      <c r="D83" s="6" t="s">
        <v>122</v>
      </c>
      <c r="E83" s="6" t="s">
        <v>238</v>
      </c>
      <c r="F83" s="6" t="s">
        <v>239</v>
      </c>
      <c r="G83" s="7" t="s">
        <v>101</v>
      </c>
      <c r="H83" s="7"/>
      <c r="I83" s="7" t="s">
        <v>108</v>
      </c>
    </row>
    <row r="84" spans="1:9" ht="34.5" customHeight="1" x14ac:dyDescent="0.3">
      <c r="A84" s="6" t="s">
        <v>51</v>
      </c>
      <c r="B84" s="6" t="s">
        <v>125</v>
      </c>
      <c r="C84" s="6" t="s">
        <v>126</v>
      </c>
      <c r="D84" s="6" t="s">
        <v>127</v>
      </c>
      <c r="E84" s="6" t="s">
        <v>128</v>
      </c>
      <c r="F84" s="6" t="s">
        <v>240</v>
      </c>
      <c r="G84" s="7" t="s">
        <v>101</v>
      </c>
      <c r="H84" s="7"/>
      <c r="I84" s="7" t="s">
        <v>108</v>
      </c>
    </row>
    <row r="85" spans="1:9" ht="23.25" customHeight="1" x14ac:dyDescent="0.3">
      <c r="A85" s="6" t="s">
        <v>51</v>
      </c>
      <c r="B85" s="6" t="s">
        <v>130</v>
      </c>
      <c r="C85" s="6" t="s">
        <v>131</v>
      </c>
      <c r="D85" s="6" t="s">
        <v>132</v>
      </c>
      <c r="E85" s="6" t="s">
        <v>106</v>
      </c>
      <c r="F85" s="6" t="s">
        <v>241</v>
      </c>
      <c r="G85" s="7" t="s">
        <v>101</v>
      </c>
      <c r="H85" s="7"/>
      <c r="I85" s="7" t="s">
        <v>108</v>
      </c>
    </row>
    <row r="86" spans="1:9" ht="23.25" customHeight="1" x14ac:dyDescent="0.3">
      <c r="A86" s="6" t="s">
        <v>51</v>
      </c>
      <c r="B86" s="6" t="s">
        <v>134</v>
      </c>
      <c r="C86" s="6" t="s">
        <v>135</v>
      </c>
      <c r="D86" s="6" t="s">
        <v>105</v>
      </c>
      <c r="E86" s="6" t="s">
        <v>106</v>
      </c>
      <c r="F86" s="6" t="s">
        <v>242</v>
      </c>
      <c r="G86" s="7" t="s">
        <v>101</v>
      </c>
      <c r="H86" s="7"/>
      <c r="I86" s="7" t="s">
        <v>108</v>
      </c>
    </row>
    <row r="87" spans="1:9" ht="34.5" customHeight="1" x14ac:dyDescent="0.3">
      <c r="A87" s="6" t="s">
        <v>51</v>
      </c>
      <c r="B87" s="6" t="s">
        <v>138</v>
      </c>
      <c r="C87" s="6" t="s">
        <v>139</v>
      </c>
      <c r="D87" s="6" t="s">
        <v>140</v>
      </c>
      <c r="E87" s="6" t="s">
        <v>141</v>
      </c>
      <c r="F87" s="6" t="s">
        <v>243</v>
      </c>
      <c r="G87" s="7" t="s">
        <v>101</v>
      </c>
      <c r="H87" s="7"/>
      <c r="I87" s="7" t="s">
        <v>108</v>
      </c>
    </row>
    <row r="88" spans="1:9" ht="34.5" customHeight="1" x14ac:dyDescent="0.3">
      <c r="A88" s="6" t="s">
        <v>51</v>
      </c>
      <c r="B88" s="6" t="s">
        <v>143</v>
      </c>
      <c r="C88" s="6" t="s">
        <v>144</v>
      </c>
      <c r="D88" s="6" t="s">
        <v>132</v>
      </c>
      <c r="E88" s="6" t="s">
        <v>106</v>
      </c>
      <c r="F88" s="6" t="s">
        <v>244</v>
      </c>
      <c r="G88" s="7" t="s">
        <v>101</v>
      </c>
      <c r="H88" s="7"/>
      <c r="I88" s="7" t="s">
        <v>108</v>
      </c>
    </row>
    <row r="89" spans="1:9" ht="15" customHeight="1" x14ac:dyDescent="0.3">
      <c r="A89" s="6" t="s">
        <v>51</v>
      </c>
      <c r="B89" s="6" t="s">
        <v>146</v>
      </c>
      <c r="C89" s="6" t="s">
        <v>147</v>
      </c>
      <c r="D89" s="6" t="s">
        <v>132</v>
      </c>
      <c r="E89" s="6" t="s">
        <v>106</v>
      </c>
      <c r="F89" s="6" t="s">
        <v>245</v>
      </c>
      <c r="G89" s="7" t="s">
        <v>101</v>
      </c>
      <c r="H89" s="7"/>
      <c r="I89" s="7" t="s">
        <v>246</v>
      </c>
    </row>
    <row r="90" spans="1:9" ht="23.25" customHeight="1" x14ac:dyDescent="0.3">
      <c r="A90" s="6" t="s">
        <v>55</v>
      </c>
      <c r="B90" s="6" t="s">
        <v>96</v>
      </c>
      <c r="C90" s="6" t="s">
        <v>97</v>
      </c>
      <c r="D90" s="6" t="s">
        <v>98</v>
      </c>
      <c r="E90" s="6" t="s">
        <v>99</v>
      </c>
      <c r="F90" s="6" t="s">
        <v>247</v>
      </c>
      <c r="G90" s="7" t="s">
        <v>101</v>
      </c>
      <c r="H90" s="7"/>
      <c r="I90" s="7" t="s">
        <v>108</v>
      </c>
    </row>
    <row r="91" spans="1:9" ht="34.5" customHeight="1" x14ac:dyDescent="0.3">
      <c r="A91" s="6" t="s">
        <v>55</v>
      </c>
      <c r="B91" s="6" t="s">
        <v>103</v>
      </c>
      <c r="C91" s="6" t="s">
        <v>104</v>
      </c>
      <c r="D91" s="6" t="s">
        <v>105</v>
      </c>
      <c r="E91" s="6" t="s">
        <v>106</v>
      </c>
      <c r="F91" s="6" t="s">
        <v>248</v>
      </c>
      <c r="G91" s="7" t="s">
        <v>101</v>
      </c>
      <c r="H91" s="7"/>
      <c r="I91" s="7" t="s">
        <v>108</v>
      </c>
    </row>
    <row r="92" spans="1:9" ht="34.5" customHeight="1" x14ac:dyDescent="0.3">
      <c r="A92" s="6" t="s">
        <v>55</v>
      </c>
      <c r="B92" s="6" t="s">
        <v>109</v>
      </c>
      <c r="C92" s="6" t="s">
        <v>110</v>
      </c>
      <c r="D92" s="6" t="s">
        <v>111</v>
      </c>
      <c r="E92" s="6" t="s">
        <v>112</v>
      </c>
      <c r="F92" s="6" t="s">
        <v>249</v>
      </c>
      <c r="G92" s="7" t="s">
        <v>101</v>
      </c>
      <c r="H92" s="7"/>
      <c r="I92" s="7" t="s">
        <v>108</v>
      </c>
    </row>
    <row r="93" spans="1:9" ht="23.25" customHeight="1" x14ac:dyDescent="0.3">
      <c r="A93" s="6" t="s">
        <v>55</v>
      </c>
      <c r="B93" s="6" t="s">
        <v>115</v>
      </c>
      <c r="C93" s="6" t="s">
        <v>116</v>
      </c>
      <c r="D93" s="6" t="s">
        <v>117</v>
      </c>
      <c r="E93" s="6" t="s">
        <v>182</v>
      </c>
      <c r="F93" s="6" t="s">
        <v>250</v>
      </c>
      <c r="G93" s="7" t="s">
        <v>101</v>
      </c>
      <c r="H93" s="7"/>
      <c r="I93" s="7" t="s">
        <v>108</v>
      </c>
    </row>
    <row r="94" spans="1:9" ht="34.5" customHeight="1" x14ac:dyDescent="0.3">
      <c r="A94" s="6" t="s">
        <v>55</v>
      </c>
      <c r="B94" s="6" t="s">
        <v>120</v>
      </c>
      <c r="C94" s="6" t="s">
        <v>121</v>
      </c>
      <c r="D94" s="6" t="s">
        <v>122</v>
      </c>
      <c r="E94" s="6" t="s">
        <v>251</v>
      </c>
      <c r="F94" s="6" t="s">
        <v>252</v>
      </c>
      <c r="G94" s="7" t="s">
        <v>101</v>
      </c>
      <c r="H94" s="7"/>
      <c r="I94" s="7" t="s">
        <v>108</v>
      </c>
    </row>
    <row r="95" spans="1:9" ht="34.5" customHeight="1" x14ac:dyDescent="0.3">
      <c r="A95" s="6" t="s">
        <v>55</v>
      </c>
      <c r="B95" s="6" t="s">
        <v>125</v>
      </c>
      <c r="C95" s="6" t="s">
        <v>126</v>
      </c>
      <c r="D95" s="6" t="s">
        <v>127</v>
      </c>
      <c r="E95" s="6" t="s">
        <v>251</v>
      </c>
      <c r="F95" s="6" t="s">
        <v>253</v>
      </c>
      <c r="G95" s="7" t="s">
        <v>101</v>
      </c>
      <c r="H95" s="7"/>
      <c r="I95" s="7" t="s">
        <v>108</v>
      </c>
    </row>
    <row r="96" spans="1:9" ht="23.25" customHeight="1" x14ac:dyDescent="0.3">
      <c r="A96" s="6" t="s">
        <v>55</v>
      </c>
      <c r="B96" s="6" t="s">
        <v>130</v>
      </c>
      <c r="C96" s="6" t="s">
        <v>131</v>
      </c>
      <c r="D96" s="6" t="s">
        <v>132</v>
      </c>
      <c r="E96" s="6" t="s">
        <v>106</v>
      </c>
      <c r="F96" s="6" t="s">
        <v>254</v>
      </c>
      <c r="G96" s="7" t="s">
        <v>101</v>
      </c>
      <c r="H96" s="7"/>
      <c r="I96" s="7" t="s">
        <v>108</v>
      </c>
    </row>
    <row r="97" spans="1:9" ht="34.5" customHeight="1" x14ac:dyDescent="0.3">
      <c r="A97" s="6" t="s">
        <v>55</v>
      </c>
      <c r="B97" s="6" t="s">
        <v>134</v>
      </c>
      <c r="C97" s="6" t="s">
        <v>135</v>
      </c>
      <c r="D97" s="6" t="s">
        <v>105</v>
      </c>
      <c r="E97" s="6" t="s">
        <v>106</v>
      </c>
      <c r="F97" s="6" t="s">
        <v>255</v>
      </c>
      <c r="G97" s="7" t="s">
        <v>101</v>
      </c>
      <c r="H97" s="7"/>
      <c r="I97" s="7" t="s">
        <v>108</v>
      </c>
    </row>
    <row r="98" spans="1:9" ht="34.5" customHeight="1" x14ac:dyDescent="0.3">
      <c r="A98" s="6" t="s">
        <v>55</v>
      </c>
      <c r="B98" s="6" t="s">
        <v>138</v>
      </c>
      <c r="C98" s="6" t="s">
        <v>139</v>
      </c>
      <c r="D98" s="6" t="s">
        <v>140</v>
      </c>
      <c r="E98" s="6" t="s">
        <v>141</v>
      </c>
      <c r="F98" s="6" t="s">
        <v>256</v>
      </c>
      <c r="G98" s="7" t="s">
        <v>101</v>
      </c>
      <c r="H98" s="7"/>
      <c r="I98" s="7" t="s">
        <v>108</v>
      </c>
    </row>
    <row r="99" spans="1:9" ht="34.5" customHeight="1" x14ac:dyDescent="0.3">
      <c r="A99" s="6" t="s">
        <v>55</v>
      </c>
      <c r="B99" s="6" t="s">
        <v>143</v>
      </c>
      <c r="C99" s="6" t="s">
        <v>144</v>
      </c>
      <c r="D99" s="6" t="s">
        <v>132</v>
      </c>
      <c r="E99" s="6" t="s">
        <v>106</v>
      </c>
      <c r="F99" s="6" t="s">
        <v>257</v>
      </c>
      <c r="G99" s="7" t="s">
        <v>101</v>
      </c>
      <c r="H99" s="7"/>
      <c r="I99" s="7" t="s">
        <v>108</v>
      </c>
    </row>
    <row r="100" spans="1:9" ht="23.25" customHeight="1" x14ac:dyDescent="0.3">
      <c r="A100" s="6" t="s">
        <v>55</v>
      </c>
      <c r="B100" s="6" t="s">
        <v>146</v>
      </c>
      <c r="C100" s="6" t="s">
        <v>147</v>
      </c>
      <c r="D100" s="6" t="s">
        <v>132</v>
      </c>
      <c r="E100" s="6" t="s">
        <v>106</v>
      </c>
      <c r="F100" s="6" t="s">
        <v>258</v>
      </c>
      <c r="G100" s="7" t="s">
        <v>101</v>
      </c>
      <c r="H100" s="7"/>
      <c r="I100" s="7" t="s">
        <v>108</v>
      </c>
    </row>
    <row r="101" spans="1:9" ht="34.5" customHeight="1" x14ac:dyDescent="0.3">
      <c r="A101" s="6" t="s">
        <v>59</v>
      </c>
      <c r="B101" s="6" t="s">
        <v>96</v>
      </c>
      <c r="C101" s="6" t="s">
        <v>97</v>
      </c>
      <c r="D101" s="6" t="s">
        <v>98</v>
      </c>
      <c r="E101" s="6" t="s">
        <v>99</v>
      </c>
      <c r="F101" s="6" t="s">
        <v>259</v>
      </c>
      <c r="G101" s="7" t="s">
        <v>101</v>
      </c>
      <c r="H101" s="7"/>
      <c r="I101" s="7" t="s">
        <v>108</v>
      </c>
    </row>
    <row r="102" spans="1:9" ht="34.5" customHeight="1" x14ac:dyDescent="0.3">
      <c r="A102" s="6" t="s">
        <v>59</v>
      </c>
      <c r="B102" s="6" t="s">
        <v>103</v>
      </c>
      <c r="C102" s="6" t="s">
        <v>104</v>
      </c>
      <c r="D102" s="6" t="s">
        <v>105</v>
      </c>
      <c r="E102" s="6" t="s">
        <v>167</v>
      </c>
      <c r="F102" s="6" t="s">
        <v>260</v>
      </c>
      <c r="G102" s="7" t="s">
        <v>101</v>
      </c>
      <c r="H102" s="7"/>
      <c r="I102" s="7" t="s">
        <v>108</v>
      </c>
    </row>
    <row r="103" spans="1:9" ht="34.5" customHeight="1" x14ac:dyDescent="0.3">
      <c r="A103" s="6" t="s">
        <v>59</v>
      </c>
      <c r="B103" s="6" t="s">
        <v>109</v>
      </c>
      <c r="C103" s="6" t="s">
        <v>110</v>
      </c>
      <c r="D103" s="6" t="s">
        <v>111</v>
      </c>
      <c r="E103" s="6" t="s">
        <v>99</v>
      </c>
      <c r="F103" s="6" t="s">
        <v>261</v>
      </c>
      <c r="G103" s="7" t="s">
        <v>101</v>
      </c>
      <c r="H103" s="7"/>
      <c r="I103" s="7" t="s">
        <v>108</v>
      </c>
    </row>
    <row r="104" spans="1:9" ht="23.25" customHeight="1" x14ac:dyDescent="0.3">
      <c r="A104" s="6" t="s">
        <v>59</v>
      </c>
      <c r="B104" s="6" t="s">
        <v>115</v>
      </c>
      <c r="C104" s="6" t="s">
        <v>116</v>
      </c>
      <c r="D104" s="6" t="s">
        <v>117</v>
      </c>
      <c r="E104" s="6" t="s">
        <v>118</v>
      </c>
      <c r="F104" s="6" t="s">
        <v>262</v>
      </c>
      <c r="G104" s="7" t="s">
        <v>101</v>
      </c>
      <c r="H104" s="7"/>
      <c r="I104" s="7" t="s">
        <v>108</v>
      </c>
    </row>
    <row r="105" spans="1:9" ht="34.5" customHeight="1" x14ac:dyDescent="0.3">
      <c r="A105" s="6" t="s">
        <v>59</v>
      </c>
      <c r="B105" s="6" t="s">
        <v>120</v>
      </c>
      <c r="C105" s="6" t="s">
        <v>121</v>
      </c>
      <c r="D105" s="6" t="s">
        <v>122</v>
      </c>
      <c r="E105" s="6" t="s">
        <v>251</v>
      </c>
      <c r="F105" s="6" t="s">
        <v>263</v>
      </c>
      <c r="G105" s="7" t="s">
        <v>101</v>
      </c>
      <c r="H105" s="7"/>
      <c r="I105" s="7" t="s">
        <v>108</v>
      </c>
    </row>
    <row r="106" spans="1:9" ht="23.25" customHeight="1" x14ac:dyDescent="0.3">
      <c r="A106" s="6" t="s">
        <v>59</v>
      </c>
      <c r="B106" s="6" t="s">
        <v>125</v>
      </c>
      <c r="C106" s="6" t="s">
        <v>126</v>
      </c>
      <c r="D106" s="6" t="s">
        <v>127</v>
      </c>
      <c r="E106" s="6" t="s">
        <v>251</v>
      </c>
      <c r="F106" s="6" t="s">
        <v>264</v>
      </c>
      <c r="G106" s="7" t="s">
        <v>101</v>
      </c>
      <c r="H106" s="7"/>
      <c r="I106" s="7" t="s">
        <v>108</v>
      </c>
    </row>
    <row r="107" spans="1:9" ht="23.25" customHeight="1" x14ac:dyDescent="0.3">
      <c r="A107" s="6" t="s">
        <v>59</v>
      </c>
      <c r="B107" s="6" t="s">
        <v>130</v>
      </c>
      <c r="C107" s="6" t="s">
        <v>131</v>
      </c>
      <c r="D107" s="6" t="s">
        <v>132</v>
      </c>
      <c r="E107" s="6" t="s">
        <v>106</v>
      </c>
      <c r="F107" s="6" t="s">
        <v>265</v>
      </c>
      <c r="G107" s="7" t="s">
        <v>101</v>
      </c>
      <c r="H107" s="7"/>
      <c r="I107" s="7" t="s">
        <v>108</v>
      </c>
    </row>
    <row r="108" spans="1:9" ht="15" customHeight="1" x14ac:dyDescent="0.3">
      <c r="A108" s="6" t="s">
        <v>59</v>
      </c>
      <c r="B108" s="6" t="s">
        <v>134</v>
      </c>
      <c r="C108" s="6" t="s">
        <v>135</v>
      </c>
      <c r="D108" s="6" t="s">
        <v>105</v>
      </c>
      <c r="E108" s="6" t="s">
        <v>167</v>
      </c>
      <c r="F108" s="6" t="s">
        <v>266</v>
      </c>
      <c r="G108" s="7" t="s">
        <v>101</v>
      </c>
      <c r="H108" s="7"/>
      <c r="I108" s="7" t="s">
        <v>108</v>
      </c>
    </row>
    <row r="109" spans="1:9" ht="34.5" customHeight="1" x14ac:dyDescent="0.3">
      <c r="A109" s="6" t="s">
        <v>59</v>
      </c>
      <c r="B109" s="6" t="s">
        <v>138</v>
      </c>
      <c r="C109" s="6" t="s">
        <v>139</v>
      </c>
      <c r="D109" s="6" t="s">
        <v>140</v>
      </c>
      <c r="E109" s="6" t="s">
        <v>141</v>
      </c>
      <c r="F109" s="6" t="s">
        <v>267</v>
      </c>
      <c r="G109" s="7" t="s">
        <v>101</v>
      </c>
      <c r="H109" s="7"/>
      <c r="I109" s="7" t="s">
        <v>108</v>
      </c>
    </row>
    <row r="110" spans="1:9" ht="34.5" customHeight="1" x14ac:dyDescent="0.3">
      <c r="A110" s="6" t="s">
        <v>59</v>
      </c>
      <c r="B110" s="6" t="s">
        <v>143</v>
      </c>
      <c r="C110" s="6" t="s">
        <v>144</v>
      </c>
      <c r="D110" s="6" t="s">
        <v>132</v>
      </c>
      <c r="E110" s="6" t="s">
        <v>106</v>
      </c>
      <c r="F110" s="6" t="s">
        <v>268</v>
      </c>
      <c r="G110" s="7" t="s">
        <v>101</v>
      </c>
      <c r="H110" s="7"/>
      <c r="I110" s="7" t="s">
        <v>108</v>
      </c>
    </row>
    <row r="111" spans="1:9" ht="15" customHeight="1" x14ac:dyDescent="0.3">
      <c r="A111" s="6" t="s">
        <v>59</v>
      </c>
      <c r="B111" s="6" t="s">
        <v>146</v>
      </c>
      <c r="C111" s="6" t="s">
        <v>147</v>
      </c>
      <c r="D111" s="6" t="s">
        <v>132</v>
      </c>
      <c r="E111" s="6" t="s">
        <v>106</v>
      </c>
      <c r="F111" s="6" t="s">
        <v>269</v>
      </c>
      <c r="G111" s="7" t="s">
        <v>101</v>
      </c>
      <c r="H111" s="7"/>
      <c r="I111" s="7" t="s">
        <v>108</v>
      </c>
    </row>
    <row r="112" spans="1:9" ht="23.25" customHeight="1" x14ac:dyDescent="0.3">
      <c r="A112" s="6" t="s">
        <v>63</v>
      </c>
      <c r="B112" s="6" t="s">
        <v>96</v>
      </c>
      <c r="C112" s="6" t="s">
        <v>97</v>
      </c>
      <c r="D112" s="6" t="s">
        <v>98</v>
      </c>
      <c r="E112" s="6" t="s">
        <v>99</v>
      </c>
      <c r="F112" s="6" t="s">
        <v>270</v>
      </c>
      <c r="G112" s="7" t="s">
        <v>101</v>
      </c>
      <c r="H112" s="7"/>
      <c r="I112" s="7" t="s">
        <v>108</v>
      </c>
    </row>
    <row r="113" spans="1:9" ht="34.5" customHeight="1" x14ac:dyDescent="0.3">
      <c r="A113" s="6" t="s">
        <v>63</v>
      </c>
      <c r="B113" s="6" t="s">
        <v>103</v>
      </c>
      <c r="C113" s="6" t="s">
        <v>104</v>
      </c>
      <c r="D113" s="6" t="s">
        <v>105</v>
      </c>
      <c r="E113" s="6" t="s">
        <v>106</v>
      </c>
      <c r="F113" s="6" t="s">
        <v>271</v>
      </c>
      <c r="G113" s="7" t="s">
        <v>101</v>
      </c>
      <c r="H113" s="7"/>
      <c r="I113" s="7" t="s">
        <v>108</v>
      </c>
    </row>
    <row r="114" spans="1:9" ht="34.5" customHeight="1" x14ac:dyDescent="0.3">
      <c r="A114" s="6" t="s">
        <v>63</v>
      </c>
      <c r="B114" s="6" t="s">
        <v>109</v>
      </c>
      <c r="C114" s="6" t="s">
        <v>110</v>
      </c>
      <c r="D114" s="6" t="s">
        <v>111</v>
      </c>
      <c r="E114" s="6" t="s">
        <v>99</v>
      </c>
      <c r="F114" s="6" t="s">
        <v>272</v>
      </c>
      <c r="G114" s="7" t="s">
        <v>101</v>
      </c>
      <c r="H114" s="7"/>
      <c r="I114" s="7" t="s">
        <v>108</v>
      </c>
    </row>
    <row r="115" spans="1:9" ht="23.25" customHeight="1" x14ac:dyDescent="0.3">
      <c r="A115" s="6" t="s">
        <v>63</v>
      </c>
      <c r="B115" s="6" t="s">
        <v>115</v>
      </c>
      <c r="C115" s="6" t="s">
        <v>116</v>
      </c>
      <c r="D115" s="6" t="s">
        <v>117</v>
      </c>
      <c r="E115" s="6" t="s">
        <v>118</v>
      </c>
      <c r="F115" s="6" t="s">
        <v>273</v>
      </c>
      <c r="G115" s="7" t="s">
        <v>101</v>
      </c>
      <c r="H115" s="7"/>
      <c r="I115" s="7" t="s">
        <v>108</v>
      </c>
    </row>
    <row r="116" spans="1:9" ht="23.25" customHeight="1" x14ac:dyDescent="0.3">
      <c r="A116" s="6" t="s">
        <v>63</v>
      </c>
      <c r="B116" s="6" t="s">
        <v>120</v>
      </c>
      <c r="C116" s="6" t="s">
        <v>121</v>
      </c>
      <c r="D116" s="6" t="s">
        <v>122</v>
      </c>
      <c r="E116" s="6" t="s">
        <v>123</v>
      </c>
      <c r="F116" s="6" t="s">
        <v>274</v>
      </c>
      <c r="G116" s="7" t="s">
        <v>101</v>
      </c>
      <c r="H116" s="7"/>
      <c r="I116" s="7" t="s">
        <v>108</v>
      </c>
    </row>
    <row r="117" spans="1:9" ht="23.25" customHeight="1" x14ac:dyDescent="0.3">
      <c r="A117" s="6" t="s">
        <v>63</v>
      </c>
      <c r="B117" s="6" t="s">
        <v>125</v>
      </c>
      <c r="C117" s="6" t="s">
        <v>126</v>
      </c>
      <c r="D117" s="6" t="s">
        <v>127</v>
      </c>
      <c r="E117" s="6" t="s">
        <v>128</v>
      </c>
      <c r="F117" s="6" t="s">
        <v>275</v>
      </c>
      <c r="G117" s="7" t="s">
        <v>101</v>
      </c>
      <c r="H117" s="7"/>
      <c r="I117" s="7" t="s">
        <v>108</v>
      </c>
    </row>
    <row r="118" spans="1:9" ht="23.25" customHeight="1" x14ac:dyDescent="0.3">
      <c r="A118" s="6" t="s">
        <v>63</v>
      </c>
      <c r="B118" s="6" t="s">
        <v>130</v>
      </c>
      <c r="C118" s="6" t="s">
        <v>131</v>
      </c>
      <c r="D118" s="6" t="s">
        <v>132</v>
      </c>
      <c r="E118" s="6" t="s">
        <v>106</v>
      </c>
      <c r="F118" s="6" t="s">
        <v>276</v>
      </c>
      <c r="G118" s="7" t="s">
        <v>101</v>
      </c>
      <c r="H118" s="7"/>
      <c r="I118" s="7" t="s">
        <v>277</v>
      </c>
    </row>
    <row r="119" spans="1:9" ht="23.25" customHeight="1" x14ac:dyDescent="0.3">
      <c r="A119" s="6" t="s">
        <v>63</v>
      </c>
      <c r="B119" s="6" t="s">
        <v>134</v>
      </c>
      <c r="C119" s="6" t="s">
        <v>135</v>
      </c>
      <c r="D119" s="6" t="s">
        <v>105</v>
      </c>
      <c r="E119" s="6" t="s">
        <v>160</v>
      </c>
      <c r="F119" s="6" t="s">
        <v>278</v>
      </c>
      <c r="G119" s="7" t="s">
        <v>101</v>
      </c>
      <c r="H119" s="7"/>
      <c r="I119" s="7" t="s">
        <v>108</v>
      </c>
    </row>
    <row r="120" spans="1:9" ht="34.5" customHeight="1" x14ac:dyDescent="0.3">
      <c r="A120" s="6" t="s">
        <v>63</v>
      </c>
      <c r="B120" s="6" t="s">
        <v>138</v>
      </c>
      <c r="C120" s="6" t="s">
        <v>139</v>
      </c>
      <c r="D120" s="6" t="s">
        <v>140</v>
      </c>
      <c r="E120" s="6" t="s">
        <v>141</v>
      </c>
      <c r="F120" s="6" t="s">
        <v>279</v>
      </c>
      <c r="G120" s="7" t="s">
        <v>101</v>
      </c>
      <c r="H120" s="7"/>
      <c r="I120" s="7" t="s">
        <v>108</v>
      </c>
    </row>
    <row r="121" spans="1:9" ht="34.5" customHeight="1" x14ac:dyDescent="0.3">
      <c r="A121" s="6" t="s">
        <v>63</v>
      </c>
      <c r="B121" s="6" t="s">
        <v>143</v>
      </c>
      <c r="C121" s="6" t="s">
        <v>144</v>
      </c>
      <c r="D121" s="6" t="s">
        <v>132</v>
      </c>
      <c r="E121" s="6" t="s">
        <v>106</v>
      </c>
      <c r="F121" s="6" t="s">
        <v>280</v>
      </c>
      <c r="G121" s="7" t="s">
        <v>101</v>
      </c>
      <c r="H121" s="7"/>
      <c r="I121" s="7" t="s">
        <v>108</v>
      </c>
    </row>
    <row r="122" spans="1:9" ht="15" customHeight="1" x14ac:dyDescent="0.3">
      <c r="A122" s="6" t="s">
        <v>63</v>
      </c>
      <c r="B122" s="6" t="s">
        <v>146</v>
      </c>
      <c r="C122" s="6" t="s">
        <v>147</v>
      </c>
      <c r="D122" s="6" t="s">
        <v>132</v>
      </c>
      <c r="E122" s="6" t="s">
        <v>106</v>
      </c>
      <c r="F122" s="6" t="s">
        <v>281</v>
      </c>
      <c r="G122" s="7" t="s">
        <v>101</v>
      </c>
      <c r="H122" s="7"/>
      <c r="I122" s="7" t="s">
        <v>108</v>
      </c>
    </row>
    <row r="123" spans="1:9" ht="23.25" customHeight="1" x14ac:dyDescent="0.3">
      <c r="A123" s="6" t="s">
        <v>67</v>
      </c>
      <c r="B123" s="6" t="s">
        <v>96</v>
      </c>
      <c r="C123" s="6" t="s">
        <v>97</v>
      </c>
      <c r="D123" s="6" t="s">
        <v>98</v>
      </c>
      <c r="E123" s="6" t="s">
        <v>99</v>
      </c>
      <c r="F123" s="6" t="s">
        <v>282</v>
      </c>
      <c r="G123" s="7" t="s">
        <v>101</v>
      </c>
      <c r="H123" s="7"/>
      <c r="I123" s="7" t="s">
        <v>283</v>
      </c>
    </row>
    <row r="124" spans="1:9" ht="34.5" customHeight="1" x14ac:dyDescent="0.3">
      <c r="A124" s="6" t="s">
        <v>67</v>
      </c>
      <c r="B124" s="6" t="s">
        <v>103</v>
      </c>
      <c r="C124" s="6" t="s">
        <v>104</v>
      </c>
      <c r="D124" s="6" t="s">
        <v>105</v>
      </c>
      <c r="E124" s="6" t="s">
        <v>106</v>
      </c>
      <c r="F124" s="6" t="s">
        <v>284</v>
      </c>
      <c r="G124" s="7" t="s">
        <v>101</v>
      </c>
      <c r="H124" s="7"/>
      <c r="I124" s="7" t="s">
        <v>108</v>
      </c>
    </row>
    <row r="125" spans="1:9" ht="34.5" customHeight="1" x14ac:dyDescent="0.3">
      <c r="A125" s="6" t="s">
        <v>67</v>
      </c>
      <c r="B125" s="6" t="s">
        <v>109</v>
      </c>
      <c r="C125" s="6" t="s">
        <v>110</v>
      </c>
      <c r="D125" s="6" t="s">
        <v>111</v>
      </c>
      <c r="E125" s="6" t="s">
        <v>99</v>
      </c>
      <c r="F125" s="6" t="s">
        <v>285</v>
      </c>
      <c r="G125" s="7" t="s">
        <v>101</v>
      </c>
      <c r="H125" s="7"/>
      <c r="I125" s="7" t="s">
        <v>108</v>
      </c>
    </row>
    <row r="126" spans="1:9" ht="23.25" customHeight="1" x14ac:dyDescent="0.3">
      <c r="A126" s="6" t="s">
        <v>67</v>
      </c>
      <c r="B126" s="6" t="s">
        <v>115</v>
      </c>
      <c r="C126" s="6" t="s">
        <v>116</v>
      </c>
      <c r="D126" s="6" t="s">
        <v>117</v>
      </c>
      <c r="E126" s="6" t="s">
        <v>118</v>
      </c>
      <c r="F126" s="6" t="s">
        <v>286</v>
      </c>
      <c r="G126" s="7" t="s">
        <v>101</v>
      </c>
      <c r="H126" s="7"/>
      <c r="I126" s="7" t="s">
        <v>108</v>
      </c>
    </row>
    <row r="127" spans="1:9" ht="23.25" customHeight="1" x14ac:dyDescent="0.3">
      <c r="A127" s="6" t="s">
        <v>67</v>
      </c>
      <c r="B127" s="6" t="s">
        <v>120</v>
      </c>
      <c r="C127" s="6" t="s">
        <v>121</v>
      </c>
      <c r="D127" s="6" t="s">
        <v>122</v>
      </c>
      <c r="E127" s="6" t="s">
        <v>123</v>
      </c>
      <c r="F127" s="6" t="s">
        <v>287</v>
      </c>
      <c r="G127" s="7" t="s">
        <v>101</v>
      </c>
      <c r="H127" s="7"/>
      <c r="I127" s="7" t="s">
        <v>108</v>
      </c>
    </row>
    <row r="128" spans="1:9" ht="34.5" customHeight="1" x14ac:dyDescent="0.3">
      <c r="A128" s="6" t="s">
        <v>67</v>
      </c>
      <c r="B128" s="6" t="s">
        <v>125</v>
      </c>
      <c r="C128" s="6" t="s">
        <v>126</v>
      </c>
      <c r="D128" s="6" t="s">
        <v>127</v>
      </c>
      <c r="E128" s="6" t="s">
        <v>128</v>
      </c>
      <c r="F128" s="6" t="s">
        <v>288</v>
      </c>
      <c r="G128" s="7" t="s">
        <v>101</v>
      </c>
      <c r="H128" s="7"/>
      <c r="I128" s="7" t="s">
        <v>108</v>
      </c>
    </row>
    <row r="129" spans="1:9" ht="23.25" customHeight="1" x14ac:dyDescent="0.3">
      <c r="A129" s="6" t="s">
        <v>67</v>
      </c>
      <c r="B129" s="6" t="s">
        <v>130</v>
      </c>
      <c r="C129" s="6" t="s">
        <v>131</v>
      </c>
      <c r="D129" s="6" t="s">
        <v>132</v>
      </c>
      <c r="E129" s="6" t="s">
        <v>106</v>
      </c>
      <c r="F129" s="6" t="s">
        <v>289</v>
      </c>
      <c r="G129" s="7" t="s">
        <v>101</v>
      </c>
      <c r="H129" s="7"/>
      <c r="I129" s="7" t="s">
        <v>108</v>
      </c>
    </row>
    <row r="130" spans="1:9" ht="23.25" customHeight="1" x14ac:dyDescent="0.3">
      <c r="A130" s="6" t="s">
        <v>67</v>
      </c>
      <c r="B130" s="6" t="s">
        <v>134</v>
      </c>
      <c r="C130" s="6" t="s">
        <v>135</v>
      </c>
      <c r="D130" s="6" t="s">
        <v>105</v>
      </c>
      <c r="E130" s="6" t="s">
        <v>160</v>
      </c>
      <c r="F130" s="6" t="s">
        <v>290</v>
      </c>
      <c r="G130" s="7" t="s">
        <v>101</v>
      </c>
      <c r="H130" s="7"/>
      <c r="I130" s="7" t="s">
        <v>108</v>
      </c>
    </row>
    <row r="131" spans="1:9" ht="34.5" customHeight="1" x14ac:dyDescent="0.3">
      <c r="A131" s="6" t="s">
        <v>67</v>
      </c>
      <c r="B131" s="6" t="s">
        <v>138</v>
      </c>
      <c r="C131" s="6" t="s">
        <v>139</v>
      </c>
      <c r="D131" s="6" t="s">
        <v>140</v>
      </c>
      <c r="E131" s="6" t="s">
        <v>214</v>
      </c>
      <c r="F131" s="6" t="s">
        <v>291</v>
      </c>
      <c r="G131" s="7" t="s">
        <v>101</v>
      </c>
      <c r="H131" s="7"/>
      <c r="I131" s="7" t="s">
        <v>108</v>
      </c>
    </row>
    <row r="132" spans="1:9" ht="34.5" customHeight="1" x14ac:dyDescent="0.3">
      <c r="A132" s="6" t="s">
        <v>67</v>
      </c>
      <c r="B132" s="6" t="s">
        <v>143</v>
      </c>
      <c r="C132" s="6" t="s">
        <v>144</v>
      </c>
      <c r="D132" s="6" t="s">
        <v>132</v>
      </c>
      <c r="E132" s="6" t="s">
        <v>106</v>
      </c>
      <c r="F132" s="6" t="s">
        <v>292</v>
      </c>
      <c r="G132" s="7" t="s">
        <v>101</v>
      </c>
      <c r="H132" s="7"/>
      <c r="I132" s="7" t="s">
        <v>108</v>
      </c>
    </row>
    <row r="133" spans="1:9" ht="15" customHeight="1" x14ac:dyDescent="0.3">
      <c r="A133" s="6" t="s">
        <v>67</v>
      </c>
      <c r="B133" s="6" t="s">
        <v>146</v>
      </c>
      <c r="C133" s="6" t="s">
        <v>147</v>
      </c>
      <c r="D133" s="6" t="s">
        <v>132</v>
      </c>
      <c r="E133" s="6" t="s">
        <v>106</v>
      </c>
      <c r="F133" s="6" t="s">
        <v>293</v>
      </c>
      <c r="G133" s="7" t="s">
        <v>101</v>
      </c>
      <c r="H133" s="7"/>
      <c r="I133" s="7" t="s">
        <v>108</v>
      </c>
    </row>
    <row r="134" spans="1:9" ht="34.5" customHeight="1" x14ac:dyDescent="0.3">
      <c r="A134" s="6" t="s">
        <v>71</v>
      </c>
      <c r="B134" s="6" t="s">
        <v>96</v>
      </c>
      <c r="C134" s="6" t="s">
        <v>97</v>
      </c>
      <c r="D134" s="6" t="s">
        <v>98</v>
      </c>
      <c r="E134" s="6" t="s">
        <v>99</v>
      </c>
      <c r="F134" s="6" t="s">
        <v>294</v>
      </c>
      <c r="G134" s="7" t="s">
        <v>101</v>
      </c>
      <c r="H134" s="7"/>
      <c r="I134" s="7" t="s">
        <v>295</v>
      </c>
    </row>
    <row r="135" spans="1:9" ht="34.5" customHeight="1" x14ac:dyDescent="0.3">
      <c r="A135" s="6" t="s">
        <v>71</v>
      </c>
      <c r="B135" s="6" t="s">
        <v>103</v>
      </c>
      <c r="C135" s="6" t="s">
        <v>104</v>
      </c>
      <c r="D135" s="6" t="s">
        <v>105</v>
      </c>
      <c r="E135" s="6" t="s">
        <v>167</v>
      </c>
      <c r="F135" s="6" t="s">
        <v>296</v>
      </c>
      <c r="G135" s="7" t="s">
        <v>101</v>
      </c>
      <c r="H135" s="7"/>
      <c r="I135" s="7" t="s">
        <v>108</v>
      </c>
    </row>
    <row r="136" spans="1:9" ht="34.5" customHeight="1" x14ac:dyDescent="0.3">
      <c r="A136" s="6" t="s">
        <v>71</v>
      </c>
      <c r="B136" s="6" t="s">
        <v>109</v>
      </c>
      <c r="C136" s="6" t="s">
        <v>110</v>
      </c>
      <c r="D136" s="6" t="s">
        <v>111</v>
      </c>
      <c r="E136" s="6" t="s">
        <v>99</v>
      </c>
      <c r="F136" s="6" t="s">
        <v>297</v>
      </c>
      <c r="G136" s="7" t="s">
        <v>101</v>
      </c>
      <c r="H136" s="7"/>
      <c r="I136" s="7" t="s">
        <v>108</v>
      </c>
    </row>
    <row r="137" spans="1:9" ht="23.25" customHeight="1" x14ac:dyDescent="0.3">
      <c r="A137" s="6" t="s">
        <v>71</v>
      </c>
      <c r="B137" s="6" t="s">
        <v>115</v>
      </c>
      <c r="C137" s="6" t="s">
        <v>116</v>
      </c>
      <c r="D137" s="6" t="s">
        <v>117</v>
      </c>
      <c r="E137" s="6" t="s">
        <v>118</v>
      </c>
      <c r="F137" s="6" t="s">
        <v>298</v>
      </c>
      <c r="G137" s="7" t="s">
        <v>101</v>
      </c>
      <c r="H137" s="7"/>
      <c r="I137" s="7" t="s">
        <v>108</v>
      </c>
    </row>
    <row r="138" spans="1:9" ht="23.25" customHeight="1" x14ac:dyDescent="0.3">
      <c r="A138" s="6" t="s">
        <v>71</v>
      </c>
      <c r="B138" s="6" t="s">
        <v>120</v>
      </c>
      <c r="C138" s="6" t="s">
        <v>121</v>
      </c>
      <c r="D138" s="6" t="s">
        <v>122</v>
      </c>
      <c r="E138" s="6" t="s">
        <v>123</v>
      </c>
      <c r="F138" s="6" t="s">
        <v>299</v>
      </c>
      <c r="G138" s="7" t="s">
        <v>101</v>
      </c>
      <c r="H138" s="7"/>
      <c r="I138" s="7" t="s">
        <v>108</v>
      </c>
    </row>
    <row r="139" spans="1:9" ht="34.5" customHeight="1" x14ac:dyDescent="0.3">
      <c r="A139" s="6" t="s">
        <v>71</v>
      </c>
      <c r="B139" s="6" t="s">
        <v>125</v>
      </c>
      <c r="C139" s="6" t="s">
        <v>126</v>
      </c>
      <c r="D139" s="6" t="s">
        <v>127</v>
      </c>
      <c r="E139" s="6" t="s">
        <v>128</v>
      </c>
      <c r="F139" s="6" t="s">
        <v>300</v>
      </c>
      <c r="G139" s="7" t="s">
        <v>101</v>
      </c>
      <c r="H139" s="7"/>
      <c r="I139" s="7" t="s">
        <v>108</v>
      </c>
    </row>
    <row r="140" spans="1:9" ht="23.25" customHeight="1" x14ac:dyDescent="0.3">
      <c r="A140" s="6" t="s">
        <v>71</v>
      </c>
      <c r="B140" s="6" t="s">
        <v>130</v>
      </c>
      <c r="C140" s="6" t="s">
        <v>131</v>
      </c>
      <c r="D140" s="6" t="s">
        <v>132</v>
      </c>
      <c r="E140" s="6" t="s">
        <v>106</v>
      </c>
      <c r="F140" s="6" t="s">
        <v>301</v>
      </c>
      <c r="G140" s="7" t="s">
        <v>101</v>
      </c>
      <c r="H140" s="7"/>
      <c r="I140" s="7" t="s">
        <v>108</v>
      </c>
    </row>
    <row r="141" spans="1:9" ht="23.25" customHeight="1" x14ac:dyDescent="0.3">
      <c r="A141" s="6" t="s">
        <v>71</v>
      </c>
      <c r="B141" s="6" t="s">
        <v>134</v>
      </c>
      <c r="C141" s="6" t="s">
        <v>135</v>
      </c>
      <c r="D141" s="6" t="s">
        <v>105</v>
      </c>
      <c r="E141" s="6" t="s">
        <v>167</v>
      </c>
      <c r="F141" s="6" t="s">
        <v>302</v>
      </c>
      <c r="G141" s="7" t="s">
        <v>101</v>
      </c>
      <c r="H141" s="7"/>
      <c r="I141" s="7" t="s">
        <v>108</v>
      </c>
    </row>
    <row r="142" spans="1:9" ht="34.5" customHeight="1" x14ac:dyDescent="0.3">
      <c r="A142" s="6" t="s">
        <v>71</v>
      </c>
      <c r="B142" s="6" t="s">
        <v>138</v>
      </c>
      <c r="C142" s="6" t="s">
        <v>139</v>
      </c>
      <c r="D142" s="6" t="s">
        <v>140</v>
      </c>
      <c r="E142" s="6" t="s">
        <v>141</v>
      </c>
      <c r="F142" s="6" t="s">
        <v>303</v>
      </c>
      <c r="G142" s="7" t="s">
        <v>101</v>
      </c>
      <c r="H142" s="7"/>
      <c r="I142" s="7" t="s">
        <v>108</v>
      </c>
    </row>
    <row r="143" spans="1:9" ht="34.5" customHeight="1" x14ac:dyDescent="0.3">
      <c r="A143" s="6" t="s">
        <v>71</v>
      </c>
      <c r="B143" s="6" t="s">
        <v>143</v>
      </c>
      <c r="C143" s="6" t="s">
        <v>144</v>
      </c>
      <c r="D143" s="6" t="s">
        <v>132</v>
      </c>
      <c r="E143" s="6" t="s">
        <v>106</v>
      </c>
      <c r="F143" s="6" t="s">
        <v>304</v>
      </c>
      <c r="G143" s="7" t="s">
        <v>101</v>
      </c>
      <c r="H143" s="7"/>
      <c r="I143" s="7" t="s">
        <v>108</v>
      </c>
    </row>
    <row r="144" spans="1:9" ht="15" customHeight="1" x14ac:dyDescent="0.3">
      <c r="A144" s="6" t="s">
        <v>71</v>
      </c>
      <c r="B144" s="6" t="s">
        <v>146</v>
      </c>
      <c r="C144" s="6" t="s">
        <v>147</v>
      </c>
      <c r="D144" s="6" t="s">
        <v>132</v>
      </c>
      <c r="E144" s="6" t="s">
        <v>106</v>
      </c>
      <c r="F144" s="6" t="s">
        <v>305</v>
      </c>
      <c r="G144" s="7" t="s">
        <v>101</v>
      </c>
      <c r="H144" s="7"/>
      <c r="I144" s="7" t="s">
        <v>108</v>
      </c>
    </row>
    <row r="145" spans="1:9" ht="23.25" customHeight="1" x14ac:dyDescent="0.3">
      <c r="A145" s="6" t="s">
        <v>75</v>
      </c>
      <c r="B145" s="6" t="s">
        <v>96</v>
      </c>
      <c r="C145" s="6" t="s">
        <v>97</v>
      </c>
      <c r="D145" s="6" t="s">
        <v>98</v>
      </c>
      <c r="E145" s="6" t="s">
        <v>99</v>
      </c>
      <c r="F145" s="6" t="s">
        <v>306</v>
      </c>
      <c r="G145" s="7" t="s">
        <v>101</v>
      </c>
      <c r="H145" s="7"/>
      <c r="I145" s="7" t="s">
        <v>307</v>
      </c>
    </row>
    <row r="146" spans="1:9" ht="34.5" customHeight="1" x14ac:dyDescent="0.3">
      <c r="A146" s="6" t="s">
        <v>75</v>
      </c>
      <c r="B146" s="6" t="s">
        <v>103</v>
      </c>
      <c r="C146" s="6" t="s">
        <v>104</v>
      </c>
      <c r="D146" s="6" t="s">
        <v>105</v>
      </c>
      <c r="E146" s="6" t="s">
        <v>106</v>
      </c>
      <c r="F146" s="6" t="s">
        <v>308</v>
      </c>
      <c r="G146" s="7" t="s">
        <v>101</v>
      </c>
      <c r="H146" s="7"/>
      <c r="I146" s="7" t="s">
        <v>108</v>
      </c>
    </row>
    <row r="147" spans="1:9" ht="34.5" customHeight="1" x14ac:dyDescent="0.3">
      <c r="A147" s="6" t="s">
        <v>75</v>
      </c>
      <c r="B147" s="6" t="s">
        <v>109</v>
      </c>
      <c r="C147" s="6" t="s">
        <v>110</v>
      </c>
      <c r="D147" s="6" t="s">
        <v>111</v>
      </c>
      <c r="E147" s="6" t="s">
        <v>99</v>
      </c>
      <c r="F147" s="6" t="s">
        <v>309</v>
      </c>
      <c r="G147" s="7" t="s">
        <v>101</v>
      </c>
      <c r="H147" s="7"/>
      <c r="I147" s="7" t="s">
        <v>108</v>
      </c>
    </row>
    <row r="148" spans="1:9" ht="23.25" customHeight="1" x14ac:dyDescent="0.3">
      <c r="A148" s="6" t="s">
        <v>75</v>
      </c>
      <c r="B148" s="6" t="s">
        <v>115</v>
      </c>
      <c r="C148" s="6" t="s">
        <v>116</v>
      </c>
      <c r="D148" s="6" t="s">
        <v>117</v>
      </c>
      <c r="E148" s="6" t="s">
        <v>182</v>
      </c>
      <c r="F148" s="6" t="s">
        <v>310</v>
      </c>
      <c r="G148" s="7" t="s">
        <v>101</v>
      </c>
      <c r="H148" s="7"/>
      <c r="I148" s="7" t="s">
        <v>108</v>
      </c>
    </row>
    <row r="149" spans="1:9" ht="23.25" customHeight="1" x14ac:dyDescent="0.3">
      <c r="A149" s="6" t="s">
        <v>75</v>
      </c>
      <c r="B149" s="6" t="s">
        <v>120</v>
      </c>
      <c r="C149" s="6" t="s">
        <v>121</v>
      </c>
      <c r="D149" s="6" t="s">
        <v>122</v>
      </c>
      <c r="E149" s="6" t="s">
        <v>251</v>
      </c>
      <c r="F149" s="6" t="s">
        <v>311</v>
      </c>
      <c r="G149" s="7" t="s">
        <v>101</v>
      </c>
      <c r="H149" s="7"/>
      <c r="I149" s="7" t="s">
        <v>108</v>
      </c>
    </row>
    <row r="150" spans="1:9" ht="34.5" customHeight="1" x14ac:dyDescent="0.3">
      <c r="A150" s="6" t="s">
        <v>75</v>
      </c>
      <c r="B150" s="6" t="s">
        <v>125</v>
      </c>
      <c r="C150" s="6" t="s">
        <v>126</v>
      </c>
      <c r="D150" s="6" t="s">
        <v>127</v>
      </c>
      <c r="E150" s="6" t="s">
        <v>251</v>
      </c>
      <c r="F150" s="6" t="s">
        <v>312</v>
      </c>
      <c r="G150" s="7" t="s">
        <v>101</v>
      </c>
      <c r="H150" s="7"/>
      <c r="I150" s="7" t="s">
        <v>108</v>
      </c>
    </row>
    <row r="151" spans="1:9" ht="23.25" customHeight="1" x14ac:dyDescent="0.3">
      <c r="A151" s="6" t="s">
        <v>75</v>
      </c>
      <c r="B151" s="6" t="s">
        <v>130</v>
      </c>
      <c r="C151" s="6" t="s">
        <v>131</v>
      </c>
      <c r="D151" s="6" t="s">
        <v>132</v>
      </c>
      <c r="E151" s="6" t="s">
        <v>106</v>
      </c>
      <c r="F151" s="6" t="s">
        <v>313</v>
      </c>
      <c r="G151" s="7" t="s">
        <v>101</v>
      </c>
      <c r="H151" s="7"/>
      <c r="I151" s="7" t="s">
        <v>108</v>
      </c>
    </row>
    <row r="152" spans="1:9" ht="23.25" customHeight="1" x14ac:dyDescent="0.3">
      <c r="A152" s="6" t="s">
        <v>75</v>
      </c>
      <c r="B152" s="6" t="s">
        <v>134</v>
      </c>
      <c r="C152" s="6" t="s">
        <v>135</v>
      </c>
      <c r="D152" s="6" t="s">
        <v>105</v>
      </c>
      <c r="E152" s="6" t="s">
        <v>160</v>
      </c>
      <c r="F152" s="6" t="s">
        <v>314</v>
      </c>
      <c r="G152" s="7" t="s">
        <v>101</v>
      </c>
      <c r="H152" s="7"/>
      <c r="I152" s="7" t="s">
        <v>108</v>
      </c>
    </row>
    <row r="153" spans="1:9" ht="34.5" customHeight="1" x14ac:dyDescent="0.3">
      <c r="A153" s="6" t="s">
        <v>75</v>
      </c>
      <c r="B153" s="6" t="s">
        <v>138</v>
      </c>
      <c r="C153" s="6" t="s">
        <v>139</v>
      </c>
      <c r="D153" s="6" t="s">
        <v>140</v>
      </c>
      <c r="E153" s="6" t="s">
        <v>141</v>
      </c>
      <c r="F153" s="6" t="s">
        <v>315</v>
      </c>
      <c r="G153" s="7" t="s">
        <v>101</v>
      </c>
      <c r="H153" s="7"/>
      <c r="I153" s="7" t="s">
        <v>108</v>
      </c>
    </row>
    <row r="154" spans="1:9" ht="34.5" customHeight="1" x14ac:dyDescent="0.3">
      <c r="A154" s="6" t="s">
        <v>75</v>
      </c>
      <c r="B154" s="6" t="s">
        <v>143</v>
      </c>
      <c r="C154" s="6" t="s">
        <v>144</v>
      </c>
      <c r="D154" s="6" t="s">
        <v>132</v>
      </c>
      <c r="E154" s="6" t="s">
        <v>106</v>
      </c>
      <c r="F154" s="6" t="s">
        <v>316</v>
      </c>
      <c r="G154" s="7" t="s">
        <v>101</v>
      </c>
      <c r="H154" s="7"/>
      <c r="I154" s="7" t="s">
        <v>108</v>
      </c>
    </row>
    <row r="155" spans="1:9" ht="15" customHeight="1" x14ac:dyDescent="0.3">
      <c r="A155" s="6" t="s">
        <v>75</v>
      </c>
      <c r="B155" s="6" t="s">
        <v>146</v>
      </c>
      <c r="C155" s="6" t="s">
        <v>147</v>
      </c>
      <c r="D155" s="6" t="s">
        <v>132</v>
      </c>
      <c r="E155" s="6" t="s">
        <v>106</v>
      </c>
      <c r="F155" s="6" t="s">
        <v>317</v>
      </c>
      <c r="G155" s="7" t="s">
        <v>101</v>
      </c>
      <c r="H155" s="7"/>
      <c r="I155" s="7" t="s">
        <v>108</v>
      </c>
    </row>
    <row r="156" spans="1:9" ht="23.25" customHeight="1" x14ac:dyDescent="0.3">
      <c r="A156" s="6" t="s">
        <v>79</v>
      </c>
      <c r="B156" s="6" t="s">
        <v>96</v>
      </c>
      <c r="C156" s="6" t="s">
        <v>97</v>
      </c>
      <c r="D156" s="6" t="s">
        <v>98</v>
      </c>
      <c r="E156" s="6" t="s">
        <v>149</v>
      </c>
      <c r="F156" s="6" t="s">
        <v>318</v>
      </c>
      <c r="G156" s="7" t="s">
        <v>101</v>
      </c>
      <c r="H156" s="7"/>
      <c r="I156" s="7" t="s">
        <v>319</v>
      </c>
    </row>
    <row r="157" spans="1:9" ht="34.5" customHeight="1" x14ac:dyDescent="0.3">
      <c r="A157" s="6" t="s">
        <v>79</v>
      </c>
      <c r="B157" s="6" t="s">
        <v>103</v>
      </c>
      <c r="C157" s="6" t="s">
        <v>104</v>
      </c>
      <c r="D157" s="6" t="s">
        <v>105</v>
      </c>
      <c r="E157" s="6" t="s">
        <v>106</v>
      </c>
      <c r="F157" s="6" t="s">
        <v>320</v>
      </c>
      <c r="G157" s="7" t="s">
        <v>101</v>
      </c>
      <c r="H157" s="7"/>
      <c r="I157" s="7" t="s">
        <v>108</v>
      </c>
    </row>
    <row r="158" spans="1:9" ht="34.5" customHeight="1" x14ac:dyDescent="0.3">
      <c r="A158" s="6" t="s">
        <v>79</v>
      </c>
      <c r="B158" s="6" t="s">
        <v>109</v>
      </c>
      <c r="C158" s="6" t="s">
        <v>110</v>
      </c>
      <c r="D158" s="6" t="s">
        <v>111</v>
      </c>
      <c r="E158" s="6" t="s">
        <v>99</v>
      </c>
      <c r="F158" s="6" t="s">
        <v>321</v>
      </c>
      <c r="G158" s="7" t="s">
        <v>101</v>
      </c>
      <c r="H158" s="7"/>
      <c r="I158" s="7" t="s">
        <v>108</v>
      </c>
    </row>
    <row r="159" spans="1:9" ht="23.25" customHeight="1" x14ac:dyDescent="0.3">
      <c r="A159" s="6" t="s">
        <v>79</v>
      </c>
      <c r="B159" s="6" t="s">
        <v>115</v>
      </c>
      <c r="C159" s="6" t="s">
        <v>116</v>
      </c>
      <c r="D159" s="6" t="s">
        <v>117</v>
      </c>
      <c r="E159" s="6" t="s">
        <v>182</v>
      </c>
      <c r="F159" s="6" t="s">
        <v>322</v>
      </c>
      <c r="G159" s="7" t="s">
        <v>101</v>
      </c>
      <c r="H159" s="7"/>
      <c r="I159" s="7" t="s">
        <v>108</v>
      </c>
    </row>
    <row r="160" spans="1:9" ht="34.5" customHeight="1" x14ac:dyDescent="0.3">
      <c r="A160" s="6" t="s">
        <v>79</v>
      </c>
      <c r="B160" s="6" t="s">
        <v>120</v>
      </c>
      <c r="C160" s="6" t="s">
        <v>121</v>
      </c>
      <c r="D160" s="6" t="s">
        <v>122</v>
      </c>
      <c r="E160" s="6" t="s">
        <v>123</v>
      </c>
      <c r="F160" s="6" t="s">
        <v>323</v>
      </c>
      <c r="G160" s="7" t="s">
        <v>101</v>
      </c>
      <c r="H160" s="7"/>
      <c r="I160" s="7" t="s">
        <v>108</v>
      </c>
    </row>
    <row r="161" spans="1:9" ht="23.25" customHeight="1" x14ac:dyDescent="0.3">
      <c r="A161" s="6" t="s">
        <v>79</v>
      </c>
      <c r="B161" s="6" t="s">
        <v>125</v>
      </c>
      <c r="C161" s="6" t="s">
        <v>126</v>
      </c>
      <c r="D161" s="6" t="s">
        <v>127</v>
      </c>
      <c r="E161" s="6" t="s">
        <v>128</v>
      </c>
      <c r="F161" s="6" t="s">
        <v>324</v>
      </c>
      <c r="G161" s="7" t="s">
        <v>101</v>
      </c>
      <c r="H161" s="7"/>
      <c r="I161" s="7" t="s">
        <v>108</v>
      </c>
    </row>
    <row r="162" spans="1:9" ht="23.25" customHeight="1" x14ac:dyDescent="0.3">
      <c r="A162" s="6" t="s">
        <v>79</v>
      </c>
      <c r="B162" s="6" t="s">
        <v>130</v>
      </c>
      <c r="C162" s="6" t="s">
        <v>131</v>
      </c>
      <c r="D162" s="6" t="s">
        <v>132</v>
      </c>
      <c r="E162" s="6" t="s">
        <v>106</v>
      </c>
      <c r="F162" s="6" t="s">
        <v>325</v>
      </c>
      <c r="G162" s="7" t="s">
        <v>101</v>
      </c>
      <c r="H162" s="7"/>
      <c r="I162" s="7" t="s">
        <v>108</v>
      </c>
    </row>
    <row r="163" spans="1:9" ht="23.25" customHeight="1" x14ac:dyDescent="0.3">
      <c r="A163" s="6" t="s">
        <v>79</v>
      </c>
      <c r="B163" s="6" t="s">
        <v>134</v>
      </c>
      <c r="C163" s="6" t="s">
        <v>135</v>
      </c>
      <c r="D163" s="6" t="s">
        <v>105</v>
      </c>
      <c r="E163" s="6" t="s">
        <v>160</v>
      </c>
      <c r="F163" s="6" t="s">
        <v>326</v>
      </c>
      <c r="G163" s="7" t="s">
        <v>101</v>
      </c>
      <c r="H163" s="7"/>
      <c r="I163" s="7" t="s">
        <v>108</v>
      </c>
    </row>
    <row r="164" spans="1:9" ht="34.5" customHeight="1" x14ac:dyDescent="0.3">
      <c r="A164" s="6" t="s">
        <v>79</v>
      </c>
      <c r="B164" s="6" t="s">
        <v>138</v>
      </c>
      <c r="C164" s="6" t="s">
        <v>139</v>
      </c>
      <c r="D164" s="6" t="s">
        <v>140</v>
      </c>
      <c r="E164" s="6" t="s">
        <v>141</v>
      </c>
      <c r="F164" s="6" t="s">
        <v>327</v>
      </c>
      <c r="G164" s="7" t="s">
        <v>101</v>
      </c>
      <c r="H164" s="7"/>
      <c r="I164" s="7" t="s">
        <v>108</v>
      </c>
    </row>
    <row r="165" spans="1:9" ht="34.5" customHeight="1" x14ac:dyDescent="0.3">
      <c r="A165" s="6" t="s">
        <v>79</v>
      </c>
      <c r="B165" s="6" t="s">
        <v>143</v>
      </c>
      <c r="C165" s="6" t="s">
        <v>144</v>
      </c>
      <c r="D165" s="6" t="s">
        <v>132</v>
      </c>
      <c r="E165" s="6" t="s">
        <v>106</v>
      </c>
      <c r="F165" s="6" t="s">
        <v>328</v>
      </c>
      <c r="G165" s="7" t="s">
        <v>101</v>
      </c>
      <c r="H165" s="7"/>
      <c r="I165" s="7" t="s">
        <v>108</v>
      </c>
    </row>
    <row r="166" spans="1:9" ht="15" customHeight="1" x14ac:dyDescent="0.3">
      <c r="A166" s="6" t="s">
        <v>79</v>
      </c>
      <c r="B166" s="6" t="s">
        <v>146</v>
      </c>
      <c r="C166" s="6" t="s">
        <v>147</v>
      </c>
      <c r="D166" s="6" t="s">
        <v>132</v>
      </c>
      <c r="E166" s="6" t="s">
        <v>106</v>
      </c>
      <c r="F166" s="6" t="s">
        <v>329</v>
      </c>
      <c r="G166" s="7" t="s">
        <v>101</v>
      </c>
      <c r="H166" s="7"/>
      <c r="I166" s="7" t="s">
        <v>108</v>
      </c>
    </row>
    <row r="167" spans="1:9" ht="34.5" customHeight="1" x14ac:dyDescent="0.3">
      <c r="A167" s="6" t="s">
        <v>83</v>
      </c>
      <c r="B167" s="6" t="s">
        <v>96</v>
      </c>
      <c r="C167" s="6" t="s">
        <v>97</v>
      </c>
      <c r="D167" s="6" t="s">
        <v>98</v>
      </c>
      <c r="E167" s="6" t="s">
        <v>99</v>
      </c>
      <c r="F167" s="6" t="s">
        <v>330</v>
      </c>
      <c r="G167" s="7" t="s">
        <v>101</v>
      </c>
      <c r="H167" s="7"/>
      <c r="I167" s="7" t="s">
        <v>331</v>
      </c>
    </row>
    <row r="168" spans="1:9" ht="34.5" customHeight="1" x14ac:dyDescent="0.3">
      <c r="A168" s="6" t="s">
        <v>83</v>
      </c>
      <c r="B168" s="6" t="s">
        <v>103</v>
      </c>
      <c r="C168" s="6" t="s">
        <v>104</v>
      </c>
      <c r="D168" s="6" t="s">
        <v>105</v>
      </c>
      <c r="E168" s="6" t="s">
        <v>167</v>
      </c>
      <c r="F168" s="6" t="s">
        <v>332</v>
      </c>
      <c r="G168" s="7" t="s">
        <v>101</v>
      </c>
      <c r="H168" s="7"/>
      <c r="I168" s="7" t="s">
        <v>108</v>
      </c>
    </row>
    <row r="169" spans="1:9" ht="34.5" customHeight="1" x14ac:dyDescent="0.3">
      <c r="A169" s="6" t="s">
        <v>83</v>
      </c>
      <c r="B169" s="6" t="s">
        <v>109</v>
      </c>
      <c r="C169" s="6" t="s">
        <v>110</v>
      </c>
      <c r="D169" s="6" t="s">
        <v>111</v>
      </c>
      <c r="E169" s="6" t="s">
        <v>99</v>
      </c>
      <c r="F169" s="6" t="s">
        <v>333</v>
      </c>
      <c r="G169" s="7" t="s">
        <v>101</v>
      </c>
      <c r="H169" s="7"/>
      <c r="I169" s="7" t="s">
        <v>108</v>
      </c>
    </row>
    <row r="170" spans="1:9" ht="23.25" customHeight="1" x14ac:dyDescent="0.3">
      <c r="A170" s="6" t="s">
        <v>83</v>
      </c>
      <c r="B170" s="6" t="s">
        <v>115</v>
      </c>
      <c r="C170" s="6" t="s">
        <v>116</v>
      </c>
      <c r="D170" s="6" t="s">
        <v>117</v>
      </c>
      <c r="E170" s="6" t="s">
        <v>182</v>
      </c>
      <c r="F170" s="6" t="s">
        <v>334</v>
      </c>
      <c r="G170" s="7" t="s">
        <v>101</v>
      </c>
      <c r="H170" s="7"/>
      <c r="I170" s="7" t="s">
        <v>108</v>
      </c>
    </row>
    <row r="171" spans="1:9" ht="34.5" customHeight="1" x14ac:dyDescent="0.3">
      <c r="A171" s="6" t="s">
        <v>83</v>
      </c>
      <c r="B171" s="6" t="s">
        <v>120</v>
      </c>
      <c r="C171" s="6" t="s">
        <v>121</v>
      </c>
      <c r="D171" s="6" t="s">
        <v>122</v>
      </c>
      <c r="E171" s="6" t="s">
        <v>238</v>
      </c>
      <c r="F171" s="6" t="s">
        <v>335</v>
      </c>
      <c r="G171" s="7" t="s">
        <v>101</v>
      </c>
      <c r="H171" s="7"/>
      <c r="I171" s="7" t="s">
        <v>108</v>
      </c>
    </row>
    <row r="172" spans="1:9" ht="34.5" customHeight="1" x14ac:dyDescent="0.3">
      <c r="A172" s="6" t="s">
        <v>83</v>
      </c>
      <c r="B172" s="6" t="s">
        <v>125</v>
      </c>
      <c r="C172" s="6" t="s">
        <v>126</v>
      </c>
      <c r="D172" s="6" t="s">
        <v>127</v>
      </c>
      <c r="E172" s="6" t="s">
        <v>128</v>
      </c>
      <c r="F172" s="6" t="s">
        <v>336</v>
      </c>
      <c r="G172" s="7" t="s">
        <v>101</v>
      </c>
      <c r="H172" s="7"/>
      <c r="I172" s="7" t="s">
        <v>108</v>
      </c>
    </row>
    <row r="173" spans="1:9" ht="23.25" customHeight="1" x14ac:dyDescent="0.3">
      <c r="A173" s="6" t="s">
        <v>83</v>
      </c>
      <c r="B173" s="6" t="s">
        <v>130</v>
      </c>
      <c r="C173" s="6" t="s">
        <v>131</v>
      </c>
      <c r="D173" s="6" t="s">
        <v>132</v>
      </c>
      <c r="E173" s="6" t="s">
        <v>106</v>
      </c>
      <c r="F173" s="6" t="s">
        <v>337</v>
      </c>
      <c r="G173" s="7" t="s">
        <v>101</v>
      </c>
      <c r="H173" s="7"/>
      <c r="I173" s="7" t="s">
        <v>108</v>
      </c>
    </row>
    <row r="174" spans="1:9" ht="34.5" customHeight="1" x14ac:dyDescent="0.3">
      <c r="A174" s="6" t="s">
        <v>83</v>
      </c>
      <c r="B174" s="6" t="s">
        <v>134</v>
      </c>
      <c r="C174" s="6" t="s">
        <v>135</v>
      </c>
      <c r="D174" s="6" t="s">
        <v>105</v>
      </c>
      <c r="E174" s="6" t="s">
        <v>106</v>
      </c>
      <c r="F174" s="6" t="s">
        <v>338</v>
      </c>
      <c r="G174" s="7" t="s">
        <v>101</v>
      </c>
      <c r="H174" s="7"/>
      <c r="I174" s="7" t="s">
        <v>108</v>
      </c>
    </row>
    <row r="175" spans="1:9" ht="34.5" customHeight="1" x14ac:dyDescent="0.3">
      <c r="A175" s="6" t="s">
        <v>83</v>
      </c>
      <c r="B175" s="6" t="s">
        <v>138</v>
      </c>
      <c r="C175" s="6" t="s">
        <v>139</v>
      </c>
      <c r="D175" s="6" t="s">
        <v>140</v>
      </c>
      <c r="E175" s="6" t="s">
        <v>214</v>
      </c>
      <c r="F175" s="6" t="s">
        <v>339</v>
      </c>
      <c r="G175" s="7" t="s">
        <v>101</v>
      </c>
      <c r="H175" s="7"/>
      <c r="I175" s="7" t="s">
        <v>108</v>
      </c>
    </row>
    <row r="176" spans="1:9" ht="34.5" customHeight="1" x14ac:dyDescent="0.3">
      <c r="A176" s="6" t="s">
        <v>83</v>
      </c>
      <c r="B176" s="6" t="s">
        <v>143</v>
      </c>
      <c r="C176" s="6" t="s">
        <v>144</v>
      </c>
      <c r="D176" s="6" t="s">
        <v>132</v>
      </c>
      <c r="E176" s="6" t="s">
        <v>106</v>
      </c>
      <c r="F176" s="6" t="s">
        <v>340</v>
      </c>
      <c r="G176" s="7" t="s">
        <v>101</v>
      </c>
      <c r="H176" s="7"/>
      <c r="I176" s="7" t="s">
        <v>108</v>
      </c>
    </row>
    <row r="177" spans="1:9" ht="23.25" customHeight="1" x14ac:dyDescent="0.3">
      <c r="A177" s="6" t="s">
        <v>83</v>
      </c>
      <c r="B177" s="6" t="s">
        <v>146</v>
      </c>
      <c r="C177" s="6" t="s">
        <v>147</v>
      </c>
      <c r="D177" s="6" t="s">
        <v>132</v>
      </c>
      <c r="E177" s="6" t="s">
        <v>106</v>
      </c>
      <c r="F177" s="6" t="s">
        <v>341</v>
      </c>
      <c r="G177" s="7" t="s">
        <v>101</v>
      </c>
      <c r="H177" s="7"/>
      <c r="I177" s="7" t="s">
        <v>108</v>
      </c>
    </row>
    <row r="179" spans="1:9" ht="15" customHeight="1" x14ac:dyDescent="0.3">
      <c r="A179" s="8" t="s">
        <v>342</v>
      </c>
    </row>
    <row r="181" spans="1:9" ht="15" customHeight="1" x14ac:dyDescent="0.3">
      <c r="F181" s="9" t="s">
        <v>343</v>
      </c>
      <c r="G181">
        <f>COUNTA(G2:G177)</f>
        <v>176</v>
      </c>
    </row>
    <row r="182" spans="1:9" ht="15" customHeight="1" x14ac:dyDescent="0.3">
      <c r="F182" s="10" t="s">
        <v>101</v>
      </c>
      <c r="G182">
        <f>COUNTIF(G2:G177,"Correct")</f>
        <v>171</v>
      </c>
    </row>
    <row r="183" spans="1:9" ht="15" customHeight="1" x14ac:dyDescent="0.3">
      <c r="F183" s="10" t="s">
        <v>154</v>
      </c>
      <c r="G183">
        <f>COUNTIF(G2:G177,"Wrong")</f>
        <v>5</v>
      </c>
    </row>
    <row r="184" spans="1:9" ht="15" customHeight="1" x14ac:dyDescent="0.3">
      <c r="F184" s="10" t="s">
        <v>344</v>
      </c>
      <c r="G184">
        <f>COUNTIF(G2:G177,"Not found")</f>
        <v>0</v>
      </c>
    </row>
  </sheetData>
  <dataValidations count="1">
    <dataValidation type="list" allowBlank="1" sqref="G2:G177" xr:uid="{00000000-0002-0000-0200-000000000000}">
      <formula1>"Correct,Wrong,Not found"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Papers</vt:lpstr>
      <vt:lpstr>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HEMN_KHEZRI</cp:lastModifiedBy>
  <cp:revision>0</cp:revision>
  <dcterms:created xsi:type="dcterms:W3CDTF">2026-10-03T19:41:08Z</dcterms:created>
  <dcterms:modified xsi:type="dcterms:W3CDTF">2026-10-04T16:48:09Z</dcterms:modified>
  <dc:language>en-US</dc:language>
</cp:coreProperties>
</file>