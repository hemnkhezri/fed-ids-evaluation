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MEN\Desktop\IIOT-Dataset\1- NEW ARTICLE- fed-ids-evaluation\repo_part1_core\fed-ids-evaluation\audit\author_check\"/>
    </mc:Choice>
  </mc:AlternateContent>
  <xr:revisionPtr revIDLastSave="0" documentId="13_ncr:1_{6067AD6B-59A3-43FD-826F-D753CAA02E6B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Guide" sheetId="1" state="hidden" r:id="rId1"/>
    <sheet name="Papers" sheetId="2" r:id="rId2"/>
    <sheet name="Verif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3" l="1"/>
  <c r="G95" i="3"/>
  <c r="G94" i="3"/>
  <c r="G93" i="3"/>
</calcChain>
</file>

<file path=xl/sharedStrings.xml><?xml version="1.0" encoding="utf-8"?>
<sst xmlns="http://schemas.openxmlformats.org/spreadsheetml/2006/main" count="775" uniqueCount="217">
  <si>
    <t>راهنمای تأیید کدگذاری ممیزی (۸ مقاله‌ی نمونه)</t>
  </si>
  <si>
    <t>کار شما: برای هر مقاله، ۱۱ ردیف در برگه‌ی Verify هست. هر ردیف یک سؤال (A1 تا A11)، کدی که داده شده، و شاهد آن (نقل‌قول یا شماره‌ی بخش/جدول) را دارد.</t>
  </si>
  <si>
    <t>۱. مقاله را از برگه‌ی Papers دانلود کنید (ستون DOI link؛ اگر باز نشد، ستون Alternative link).</t>
  </si>
  <si>
    <t>۲. برای هر ردیف، بخش یا جمله‌ی گفته‌شده در ستون Evidence را در PDF پیدا کنید (Ctrl+F با چند کلمه از نقل‌قول).</t>
  </si>
  <si>
    <t>۳. در ستون زرد «Your check» یکی را انتخاب کنید:</t>
  </si>
  <si>
    <t xml:space="preserve">    Correct = شاهد در مقاله هست و کد با تعریف سؤال جور است.</t>
  </si>
  <si>
    <t xml:space="preserve">    Wrong = شاهد هست ولی کد غلط است ← در ستون «Your code» کد درست را از گزینه‌های ستون Options بنویسید.</t>
  </si>
  <si>
    <t xml:space="preserve">    Not found = جمله یا بخش گفته‌شده را در مقاله پیدا نکردید.</t>
  </si>
  <si>
    <t>۴. اگر توضیحی دارید، در ستون Comment بنویسید (فارسی یا انگلیسی).</t>
  </si>
  <si>
    <t>نکته‌های مهم:</t>
  </si>
  <si>
    <t>• «not_reported» یعنی مقاله درباره‌ی آن موضوع چیزی نگفته است؛ اگر جایی گفته و ما ندیده‌ایم، Wrong بزنید و محل آن را در Comment بنویسید.</t>
  </si>
  <si>
    <t>• برای کدهای «no» یا «not_reported»، کافی است بخش روش و آزمایش‌ها را نگاه کنید و ببینید واقعاً چیزی نیامده است.</t>
  </si>
  <si>
    <t>• A2 فقط وقتی «yes» است که مدل پنجره یا دنباله بسازد و تقسیم تصادفی روی همان دنباله‌ها انجام شود.</t>
  </si>
  <si>
    <t>• A8: اگر کلاینت‌ها به‌طور طبیعی جدا شده‌اند (مثلاً هر دستگاه یک کلاینت) و پارتیشن non-IID ساخته نشده، کد «no» است.</t>
  </si>
  <si>
    <t>• A5 «copied» یعنی بخشی از عددهای baseline از مقاله‌های دیگر نقل شده است.</t>
  </si>
  <si>
    <t>• Q1-07 قبلاً برای کدگذار دوم باز نشده بود؛ اگر شما هم نتوانستید دانلودش کنید، فقط بنویسید «could not open».</t>
  </si>
  <si>
    <t>زمان تقریبی: ۱۰ تا ۱۵ دقیقه برای هر مقاله. لطفاً به هیچ ستون دیگری دست نزنید و فایل پرشده را برگردانید.</t>
  </si>
  <si>
    <t>ID</t>
  </si>
  <si>
    <t>Citation</t>
  </si>
  <si>
    <t>DOI link</t>
  </si>
  <si>
    <t>Alternative link (where it was read)</t>
  </si>
  <si>
    <t>C04</t>
  </si>
  <si>
    <t>Olanrewaju-George B, Pranggono B. Federated learning-based intrusion detection system for the internet of things using unsupervised and supervised deep learning models. Cyber Security and Applications 3:100068, 2025. doi:10.1016/j.csa.2024.100068</t>
  </si>
  <si>
    <t>https://doi.org/10.1016/j.csa.2024.100068</t>
  </si>
  <si>
    <t>https://www.sciencedirect.com/science/article/pii/S2772918424000341</t>
  </si>
  <si>
    <t>C11</t>
  </si>
  <si>
    <t>Bilal MA, Ul Islam I, Idrees S, Qasim M, Khan MJ, Khan J, et al. Dataset-centric evaluation of federated intrusion detection models in IoT networks. Scientific Reports 16:2683, 2026. doi:10.1038/s41598-025-32567-w</t>
  </si>
  <si>
    <t>https://doi.org/10.1038/s41598-025-32567-w</t>
  </si>
  <si>
    <t>https://www.nature.com/articles/s41598-025-32567-w</t>
  </si>
  <si>
    <t>Q1-07</t>
  </si>
  <si>
    <t>Rashid MM, Khan SU, Eusufzai F, Redwan MA, Sabuj SR, Elsharief M. A federated learning-based approach for improving intrusion detection in industrial Internet of Things networks. Network 3(1):158-179, 2023. doi:10.3390/network3010008</t>
  </si>
  <si>
    <t>https://doi.org/10.3390/network3010008</t>
  </si>
  <si>
    <t>https://www.academia.edu/99584694/A_Federated_Learning_Based_Approach_for_Improving_Intrusion_Detection_in_Industrial_Internet_of_Things_Networks</t>
  </si>
  <si>
    <t>Q2-07</t>
  </si>
  <si>
    <t>Hossain MA, Saif S, Islam MS. A novel federated learning approach for IoT botnet intrusion detection using SHAP-based knowledge distillation. Complex &amp; Intelligent Systems 11:422, 2025. doi:10.1007/s40747-025-02001-9</t>
  </si>
  <si>
    <t>https://doi.org/10.1007/s40747-025-02001-9</t>
  </si>
  <si>
    <t>https://link.springer.com/article/10.1007/s40747-025-02001-9</t>
  </si>
  <si>
    <t>Q3-03</t>
  </si>
  <si>
    <t>Sengan S, Shieh C-S. Non-IID and aware federated intrusion detection with PBFT with secured model aggregation for multi institutional healthcare internet of things networks. Scientific Reports 16:23481, 2026. doi:10.1038/s41598-026-56167-4</t>
  </si>
  <si>
    <t>https://doi.org/10.1038/s41598-026-56167-4</t>
  </si>
  <si>
    <t>https://www.nature.com/articles/s41598-026-56167-4.pdf</t>
  </si>
  <si>
    <t>Q3-07</t>
  </si>
  <si>
    <t>Du J. A novel intrusion detection system for IIoT in 5G networks using attention-augmented federated learning and lightweight transformer architectures. Scientific Reports 16:23974, 2026. doi:10.1038/s41598-026-54748-x</t>
  </si>
  <si>
    <t>https://doi.org/10.1038/s41598-026-54748-x</t>
  </si>
  <si>
    <t>https://www.nature.com/articles/s41598-026-54748-x</t>
  </si>
  <si>
    <t>Q4-09</t>
  </si>
  <si>
    <t>Bukhari SMS, Zafar MH, Abou Houran M, Qadir Z, Moosavi SKR, Sanfilippo F. Enhancing cybersecurity in Edge IIoT networks: An asynchronous federated learning approach with a deep hybrid detection model. Internet of Things 27:101252, 2024. doi:10.1016/j.iot.2024.101252</t>
  </si>
  <si>
    <t>https://doi.org/10.1016/j.iot.2024.101252</t>
  </si>
  <si>
    <t>https://www.sciencedirect.com/science/article/pii/S2542660524001938</t>
  </si>
  <si>
    <t>Q6-07</t>
  </si>
  <si>
    <t>Sanjalawe Y, Al-E'mari S, Alqurashi T, Alharbi ZH, Makhadmeh SN, Alsharaiah M. Adaptive graph attention-based federated learning for IoT intrusion detection: mitigating poisoning attacks. PeerJ Computer Science 11:e3281, 2025. doi:10.7717/peerj-cs.3281</t>
  </si>
  <si>
    <t>https://doi.org/10.7717/peerj-cs.3281</t>
  </si>
  <si>
    <t>https://peerj.com/articles/cs-3281/</t>
  </si>
  <si>
    <t>Paper</t>
  </si>
  <si>
    <t>Item</t>
  </si>
  <si>
    <t>Question</t>
  </si>
  <si>
    <t>Options</t>
  </si>
  <si>
    <t>Code given</t>
  </si>
  <si>
    <t>Evidence (where to look)</t>
  </si>
  <si>
    <t>Your check</t>
  </si>
  <si>
    <t>Your code (only if Wrong)</t>
  </si>
  <si>
    <t>Comment</t>
  </si>
  <si>
    <t>A1</t>
  </si>
  <si>
    <t>Split: how were training and test data separated?</t>
  </si>
  <si>
    <t>random / temporal_or_capture / provided_split / not_reported</t>
  </si>
  <si>
    <t>random</t>
  </si>
  <si>
    <t>Sec 3.3: "a random sample of the abnormal data is created and concatenated with the normal testing set... They are shuffled"; percentages not given.</t>
  </si>
  <si>
    <t>Correct</t>
  </si>
  <si>
    <t>Verified: random sampling of abnormal data and shuffling are described in Sec. 3.3.</t>
  </si>
  <si>
    <t>A2</t>
  </si>
  <si>
    <t>Sequence-leakage risk: sliding windows/sequences AND a random split over them?</t>
  </si>
  <si>
    <t>yes / no / unclear</t>
  </si>
  <si>
    <t>no</t>
  </si>
  <si>
    <t>Sec 4.1: AE and DNN take the 115 features of a record as input; no windows/sequences.</t>
  </si>
  <si>
    <t>Verified: model inputs are individual 115-feature records; no sliding-window sequence split is described.</t>
  </si>
  <si>
    <t>A3</t>
  </si>
  <si>
    <t>Preprocessing fit: scaling/encoding fitted on training data only, on all data, or not stated?</t>
  </si>
  <si>
    <t>train_only / all_data / not_reported</t>
  </si>
  <si>
    <t>not_reported</t>
  </si>
  <si>
    <t>Sec 3.3: "the normal training set, the normal threshold set, and the mixed data are scaled using a scaler function" - what the scaler is fitted on is not stated.</t>
  </si>
  <si>
    <t>Verified: scaling is described, but scaler fitting scope is not specified.</t>
  </si>
  <si>
    <t>A4</t>
  </si>
  <si>
    <t>Budget reported: both FL rounds and local epochs/steps, only one, or neither?</t>
  </si>
  <si>
    <t>both / one / neither</t>
  </si>
  <si>
    <t>one</t>
  </si>
  <si>
    <t>Tables 2-3 give (per-device) epochs from random search; number of FL rounds not stated ("repeated until the global AE model converges").</t>
  </si>
  <si>
    <t>Verified: local epochs are reported; FL round count is not explicitly reported.</t>
  </si>
  <si>
    <t>A5</t>
  </si>
  <si>
    <t>Budget parity: baselines stated to use the same rounds/epochs?</t>
  </si>
  <si>
    <t>same / different_or_unstated / copied</t>
  </si>
  <si>
    <t>copied</t>
  </si>
  <si>
    <t>Table 4: "Performance comparison ... with other studies that used N-BaIoT dataset" with values cited from [6],[7],[8],[11],[12],[14].</t>
  </si>
  <si>
    <t>Verified: Table 4 baseline values are cited from other studies; 'copied' matches the sheet's definition.</t>
  </si>
  <si>
    <t>A6</t>
  </si>
  <si>
    <t>Baselines: re-run by the authors, or numbers copied from other papers?</t>
  </si>
  <si>
    <t>rerun / copied / none</t>
  </si>
  <si>
    <t>Table 4 baseline numbers quoted from other papers; Table 5 ML models and Non-FL models (Figs 5-7) also compared, with no stated training details.</t>
  </si>
  <si>
    <t>Evidence and coding checked against the article/full-text source.</t>
  </si>
  <si>
    <t>A7</t>
  </si>
  <si>
    <t>MCC or balanced accuracy (or G-mean) reported?</t>
  </si>
  <si>
    <t>yes / no</t>
  </si>
  <si>
    <t>Sec 4.4: "accuracy, precision, recall, and F1-score" plus TPR/FPR; no MCC/balanced accuracy.</t>
  </si>
  <si>
    <t>A8</t>
  </si>
  <si>
    <t>Non-IID client partition evaluated?</t>
  </si>
  <si>
    <t>"Each IoT device trains an AE locally on its data"; nine N-BaIoT devices as clients (natural split); no non-IID partition evaluated.</t>
  </si>
  <si>
    <t>A9</t>
  </si>
  <si>
    <t>Several runs with dispersion (std/CI) or a statistical test?</t>
  </si>
  <si>
    <t>runs_with_dispersion_or_test / runs_no_dispersion / single_or_not_reported</t>
  </si>
  <si>
    <t>single_or_not_reported</t>
  </si>
  <si>
    <t>No repeated runs or dispersion reported.</t>
  </si>
  <si>
    <t>A10</t>
  </si>
  <si>
    <t>Tested on a dataset never used in development (cross-dataset / held-out dataset)?</t>
  </si>
  <si>
    <t>Only N-BaIoT used.</t>
  </si>
  <si>
    <t>A11</t>
  </si>
  <si>
    <t>Public link to code?</t>
  </si>
  <si>
    <t>Only dataset link (UCI) given; no code link.</t>
  </si>
  <si>
    <t>Methodology: 'each dataset was split among multiple clients ... (Table 2)'; 'Per client, we fit a standard scaler on the training split' — how train/test splits were formed is not stated (only a 'stratified 90/10 split' for validation in ablations).</t>
  </si>
  <si>
    <t>Methodology: LSTM inputs 'fed as a length-1 sequence–treating each flow as one timestep'.</t>
  </si>
  <si>
    <t>train_only</t>
  </si>
  <si>
    <t>Methodology: 'z-score normalization (fit on training split only); in cross-dataset tests the source scaler is applied to the target.'</t>
  </si>
  <si>
    <t>both</t>
  </si>
  <si>
    <t>'typically 50 rounds for single-dataset cases and up to 100 for the combined one'; 'training locally for 5 epochs with mini-batches of 128 samples.'</t>
  </si>
  <si>
    <t>same</t>
  </si>
  <si>
    <t>'These settings were kept consistent across algorithms to fairly compare FedAvg, FedProx, and FedNova.'</t>
  </si>
  <si>
    <t>Verified: z-score normalization is explicitly stated to be fit on the training split only.</t>
  </si>
  <si>
    <t>rerun</t>
  </si>
  <si>
    <t>FedAvg, FedProx, FedNova with LSTM/Transformer run by the authors (Tables 5-9); no comparison table with numbers from other papers.</t>
  </si>
  <si>
    <t>Metrics: 'Accuracy, Precision, Recall, F1-Score, AUC' and confusion matrix; no MCC/balanced accuracy/G-mean.</t>
  </si>
  <si>
    <t>Verified: 50 rounds for single-dataset cases/up to 100 for combined cases and 5 local epochs are stated.</t>
  </si>
  <si>
    <t>Clients formed by natural grouping: 'Edge-IIoTset ... 6 clients by device/application; CIC-IoT2023 into 10 clients by device group; TII-SSRC-23 into 5 clients by stratified random flows' — natural/IID splits only, no synthetic non-IID partition.</t>
  </si>
  <si>
    <t>Wrong</t>
  </si>
  <si>
    <t>yes</t>
  </si>
  <si>
    <t>Corrected to 'yes': non-IID client construction by device/application type is explicitly described.</t>
  </si>
  <si>
    <t>Only fixed seeds stated ('Global seed 42 with dataset seeds Edge=1729, CIC=2023, TII=1103'); no multiple runs, dispersion or tests.</t>
  </si>
  <si>
    <t>Verified: FedAvg, FedProx and FedNova with LSTM/Transformer are experimentally evaluated in the paper.</t>
  </si>
  <si>
    <t>Cross-dataset design: 'train on one dataset and test on another'; 'For each source model we apply the source-fitted scaler to the target features'; 'Metrics are macro-averaged on the target test set.'</t>
  </si>
  <si>
    <t>Data availability lists dataset links only; 'Exact client indices and split files are provided in the supplementary package' — no code link.</t>
  </si>
  <si>
    <t>Verified: fixed seeds are reported, but no repeated independent runs/dispersion or statistical test is reported.</t>
  </si>
  <si>
    <t>Table 2 header 'Type | Total | Train | Test' gives counts (~80/20) but no sentence in Sec. 4.2 states how the train/test split was made; 'chosen at random' refers to client assignment of training data.</t>
  </si>
  <si>
    <t>Verified: cross-dataset testing is explicitly included.</t>
  </si>
  <si>
    <t>unclear</t>
  </si>
  <si>
    <t>RNN classifier used (Sec. 4.4.1) but no description of input shape, time steps or windows in Secs. 4.2-4.4.</t>
  </si>
  <si>
    <t>Verified: no public code repository is identified in the paper's availability information.</t>
  </si>
  <si>
    <t>Sec. 4.2: 'dummy encoding categorical data and by normalizing numeric data using the Z-score normalization' then SMOTE; order relative to the split not stated.</t>
  </si>
  <si>
    <t>Table 3: 'Local epochs 20', 'Global epochs 50'; Sec. 4.4.2 / Table 5 report 1st to 50th round.</t>
  </si>
  <si>
    <t>different_or_unstated</t>
  </si>
  <si>
    <t>Centralized CNN/RNN baselines (Sec. 4.4.1): 'We trained our model for a total of 50 epochs'; no statement that baselines share the FL budget; Table 6 prior-work numbers not re-run.</t>
  </si>
  <si>
    <t>Sec. 4.4.4: 'Table 6 compares the efficacy of our work to that of comparable FL-based IDS approaches' (refs [33]-[36]); centralized CNN/RNN re-run by authors.</t>
  </si>
  <si>
    <t>Sec. 4.3 defines Accuracy, Precision, Recall, F1-Score, TPR and FPR only.</t>
  </si>
  <si>
    <t>Table 5 header: '1st Round (B, W, G for IID/Non-IID) | 50th Round'; Sec. 4.4.2 defines IID and Non-IID settings for K=3/9/15.</t>
  </si>
  <si>
    <t>No repeated runs, seeds or averaging stated in Secs. 4.2-4.4.</t>
  </si>
  <si>
    <t>Only Edge-IIoTset used (Sec. 4.2).</t>
  </si>
  <si>
    <t>No code link; 'Data Availability Statement: Not Applicable.'</t>
  </si>
  <si>
    <t>'we employed a 70% training and 30% testing split in all experiments' - random/stratified/temporal not stated.</t>
  </si>
  <si>
    <t>Local models are Random Forest classifiers ('T (Number of Trees) as 10'); no windows or sequences.</t>
  </si>
  <si>
    <t>StandardScaler and LabelEncoder used (preprocessing section); not stated whether fitted on training data only.</t>
  </si>
  <si>
    <t>neither</t>
  </si>
  <si>
    <t>No rounds, iterations or epochs reported (terms 'round', 'epoch', 'iteration' absent).</t>
  </si>
  <si>
    <t>Table 8 baselines (DNN [31], SGC [33], CNN-LSTM [36], FDL [25]) are from cited papers.</t>
  </si>
  <si>
    <t>'Table 8 provides a comparative analysis of our proposed decentralized approach with various existing centralized and federated learning models' - values from refs [25],[31],[33],[36].</t>
  </si>
  <si>
    <t>'Accuracy, precision, recall, and F1-score' plus confusion matrices.</t>
  </si>
  <si>
    <t>'Each client is assigned data specific to particular botnet types ... non-IID' (Settings 1-3).</t>
  </si>
  <si>
    <t>No seeds, repeated runs, mean±std or statistical tests.</t>
  </si>
  <si>
    <t>MedBIoT, N-BaIoT, NCC2 each split 70/30 internally; no cross-dataset test.</t>
  </si>
  <si>
    <t>No code link or code availability statement.</t>
  </si>
  <si>
    <t>No train/validation/test split described in Sect. 6 (Experimental setup) or Sect. 7; Sect. 6.3 only describes partitioning of IoT-Flock/CICIoT2023 across K = 12 institutional nodes.</t>
  </si>
  <si>
    <t>BiLSTM temporal backbone with 'Sequence length T 10' (Table 4); 'sequence of embeddings {z_k,tau} tau=t-T+1..t Eq. (29)'. How sequences are formed relative to any split is not stated.</t>
  </si>
  <si>
    <t>Protocol-aware normalization: 'mu_r,j is the empirical mean of feature j computed over traffic samples of protocol r within X_k' (Sect. 5); whether X_k is training-only is not stated.</t>
  </si>
  <si>
    <t>Table 4: 'Maximum federation rounds Tmax 200'; 'Local training steps per round tau 10'.</t>
  </si>
  <si>
    <t>No statement that FedAvg/FedProx/SCAFFOLD/FedNova used the same rounds/local steps (Sect. 6-7).</t>
  </si>
  <si>
    <t>Table 13 'Comparison of SOTA' lists published results from other papers; Table 6 baselines appear run by the authors. (Resolved after second coding.)</t>
  </si>
  <si>
    <t>Corrected to 'rerun': Table 6 contains the paper's experimental baseline results; Table 13 is a separate literature comparison.</t>
  </si>
  <si>
    <t>Tables 6-7 report Accuracy, F1, AUC-ROC (plus per-class F1); no MCC, balanced accuracy or G-mean.</t>
  </si>
  <si>
    <t>Sect. 6.3: 'Label skew is implemented using the Dirichlet-based class proportion sampling ... alpha in {0.1, 0.5, 1.0}'; quantity skew beta in {0.3, 0.7, 1.0}.</t>
  </si>
  <si>
    <t>'+- values represent standard deviation across alpha in {0.1,0.5,1.0} heterogeneity severity levels' (Table 7 footnote); fixed 'random seed of 42'; no repeated runs stated.</t>
  </si>
  <si>
    <t>Corrected to 'single_or_not_reported': the reported ± values are across heterogeneity severity levels, not independent repeated runs.</t>
  </si>
  <si>
    <t>No model trained on one dataset and tested on the other; Conclusion mentions a 'generalization gap of 8.47% between the IoT-Flock and CICIoT2023 transfer directions' but no such experiment/table is reported.</t>
  </si>
  <si>
    <t>Code availability: 'GitHub repository N-IID-AFIDS pipeline (https://github.com/sudhakarsengan/N-IID-AFIDS-pipeline-)'; Zenodo 10.5281/zenodo.19998451. Repo verified to exist with main.py and notebooks (2026-09-30).</t>
  </si>
  <si>
    <t>'The data is divided into about 70% for training, 15% for validation, and 15% for testing among scattered devices'; 'a 5-fold cross-validation technique was utilized in the training phase' (Simulation results).</t>
  </si>
  <si>
    <t>Corrected to 'not_reported': 70:15:15 is stated, but randomness of the split is not stated.</t>
  </si>
  <si>
    <t>Single record input: 'The resulting 1D feature vector is reshaped into a 2D tensor (e.g., a 24x24 grayscale-like image)' (Feature mapping and modality conversion); no sliding windows over records.</t>
  </si>
  <si>
    <t>'Numerical features are normalized to the interval [0, 1] employing Min-Max normalization' (Data cleaning and normalization); fit scope not stated (only KMeans-SMOTE stated 'exclusively on the training subset').</t>
  </si>
  <si>
    <t>Table 4: 'Global rounds (T): 50'; 'Local epochs per device (E): 10'.</t>
  </si>
  <si>
    <t>Baselines MobileNetV3-SVM, LSTM, ViT, VGG-19 introduced with refs [37]-[40]; no statement that they used the same rounds/epochs.</t>
  </si>
  <si>
    <t>'The proposed model is evaluated against baseline methods, including MobileNetV3-SVM[37], LSTM[38], ViT[39], and VGG-19[40]'; Table 15 paired t-tests vs each baseline imply authors' own runs. Not explicitly stated.</t>
  </si>
  <si>
    <t>Tables 5/7: Recall, Precision, F1-Score, MSE, RMSE, MAE; text also Accuracy and AUC; no MCC/balanced accuracy/G-mean.</t>
  </si>
  <si>
    <t>'the pre-processed dataset is partitioned into non-IID subsets using a label-based skewed distribution'; alpha from 0.1 to 1.0 (Table 10).</t>
  </si>
  <si>
    <t>runs_with_dispersion_or_test</t>
  </si>
  <si>
    <t>'each experiment was repeated five times with varying random seeds ... mean values with their associated standard deviation (+- SD)'; Table 15 'Summary of statistical comparison (paired t-test)'.</t>
  </si>
  <si>
    <t>Verified: five repeated runs with varying random seeds, mean±SD/95% CI, and paired t-test are reported.</t>
  </si>
  <si>
    <t>Table 14 'Cross-dataset evaluation results': model 'trained exclusively on Edge-IIoTset and subsequently assessed on ToN-IoT without undergoing retraining'.</t>
  </si>
  <si>
    <t>Data availability: 'available from the corresponding author on reasonable request'; no code link.</t>
  </si>
  <si>
    <t>No train/test split method or percentages stated in Secs. 4-5; Sec. 5.2 only says testing used 'a substantial dataset of 443,700 instances'.</t>
  </si>
  <si>
    <t>Sec. 3.5: 'LSTM unit, which excels in processing sequential data'; no window, sequence length or input shape given (Secs. 3-5, Table 2), and split not described.</t>
  </si>
  <si>
    <t>Sec. 4 only: '1176 features, distilled down to 61 high-correlation features'; no scaling/encoding or fit scope stated in Secs. 3-5.</t>
  </si>
  <si>
    <t>Table 2 lists architecture/optimizer only; Sec. 3.4 gives lr decay 'η(t) = η0/(1 + δt)' without values; Sec. 5.2.4 'By round 20, the model achieves near-optimal performance' (no total rounds, no local epochs).</t>
  </si>
  <si>
    <t>CNN, isolated LSTM and Shallow ANN compared via ROC curves (Sec. 5.2.3, Figs. 12-15); no statement of their training rounds/epochs or whether they were federated.</t>
  </si>
  <si>
    <t>Sec. 5.2.3: ROC curves on the Edge-IIoTset for 'CNN Model' (Fig. 12), 'Isolated LSTM' (Fig. 13), 'Shallow ANN' (Fig. 15), i.e. produced by the authors; no numbers quoted from other papers.</t>
  </si>
  <si>
    <t>Sec. 5.1, Eqs. 16-20: Accuracy, Precision, Recall, F1-Score; plus ROC-AUC (Sec. 5.2.3). No MCC/balanced accuracy/G-mean.</t>
  </si>
  <si>
    <t>Sec. 5: 'The dataset was distributed among ten different clients, mimicking a realistic IIoT network scenario'; partition scheme not described.</t>
  </si>
  <si>
    <t>Single values reported (e.g. precision/recall/F1 of 1.00, Table 4); no repeated runs, SD, CI or tests in Secs. 5.1-5.2.4.</t>
  </si>
  <si>
    <t>Only Edge-IIoTset used (Sec. 4).</t>
  </si>
  <si>
    <t>No code link in the visible text (Secs. 1-5.2.4).</t>
  </si>
  <si>
    <t>No split method or proportions in 'Proposed methodology' / 'Experiments and results'; only 'identical configurations for dataset splits' (Measurement setup).</t>
  </si>
  <si>
    <t>Data matrix 'Rows represent packet sequences or time intervals (e.g., 1-s window)'; Table 6 CNN-GRU input 'Input sequence of network flows', GRU 'Captures temporal dependencies'; split not described.</t>
  </si>
  <si>
    <t>Stage 1: 'mean (μ) and standard deviation (σ) required for Z-score normalization are computed independently using each client's private dataset'; whether test data are excluded is not stated.</t>
  </si>
  <si>
    <t>Rounds, local epochs, batch size and learning rate not given anywhere (Tables 3-7 give hardware and layer specs only).</t>
  </si>
  <si>
    <t>Measurement setup: 'all experiments were executed on the same hardware infrastructure ... using identical configurations for dataset splits, local training epochs, model sizes, and communication rounds.'</t>
  </si>
  <si>
    <t>Table 12: FedAvg, FedGen, AdaptFL with bootstrap 95% CIs and 'p-values derived from paired t-tests against the AGAT-FL results'; Table 15 runtime per round for FedAvg etc. No statement that numbers were copied.</t>
  </si>
  <si>
    <t>Metrics defined: Accuracy, Precision, Recall, F1-score (Tables 8-11); no MCC/balanced accuracy/G-mean.</t>
  </si>
  <si>
    <t>No client partition scheme given; only 'Local normalization also reflects the inherent non-IID nature of federated data distributions' (Stage 1).</t>
  </si>
  <si>
    <t>'Statistical analysis and interpretation': 95% CIs 'estimated using bootstrap sampling (1,000 iterations), and p-values derived from paired t-tests' (Tables 12-13); ablation 'over five independent runs'.</t>
  </si>
  <si>
    <t>N-BaIoT and CIC-ToN-IoT evaluated separately (Tables 8-11); no cross-dataset test.</t>
  </si>
  <si>
    <t>Only Kaggle dataset links given; no code link in the visible text.</t>
  </si>
  <si>
    <t>Example of a filled row: Your check = Wrong; Your code = train_only; Comment = 'Sec 3.2 says the scaler is fitted on the training set.'</t>
  </si>
  <si>
    <t>Checked rows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</si>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</sst>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name val="Tahoma"/>
      <charset val="1"/>
    </font>
    <font>
      <sz val="11"/>
      <name val="Tahoma"/>
      <charset val="1"/>
    </font>
    <font>
      <b/>
      <sz val="11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40747-025-02001-9" TargetMode="External"/><Relationship Id="rId13" Type="http://schemas.openxmlformats.org/officeDocument/2006/relationships/hyperlink" Target="https://doi.org/10.1016/j.iot.2024.101252" TargetMode="External"/><Relationship Id="rId3" Type="http://schemas.openxmlformats.org/officeDocument/2006/relationships/hyperlink" Target="https://doi.org/10.1038/s41598-025-32567-w" TargetMode="External"/><Relationship Id="rId7" Type="http://schemas.openxmlformats.org/officeDocument/2006/relationships/hyperlink" Target="https://doi.org/10.1007/s40747-025-02001-9" TargetMode="External"/><Relationship Id="rId12" Type="http://schemas.openxmlformats.org/officeDocument/2006/relationships/hyperlink" Target="https://www.nature.com/articles/s41598-026-54748-x" TargetMode="External"/><Relationship Id="rId2" Type="http://schemas.openxmlformats.org/officeDocument/2006/relationships/hyperlink" Target="https://www.sciencedirect.com/science/article/pii/S2772918424000341" TargetMode="External"/><Relationship Id="rId16" Type="http://schemas.openxmlformats.org/officeDocument/2006/relationships/hyperlink" Target="https://peerj.com/articles/cs-3281/" TargetMode="External"/><Relationship Id="rId1" Type="http://schemas.openxmlformats.org/officeDocument/2006/relationships/hyperlink" Target="https://doi.org/10.1016/j.csa.2024.100068" TargetMode="External"/><Relationship Id="rId6" Type="http://schemas.openxmlformats.org/officeDocument/2006/relationships/hyperlink" Target="https://www.academia.edu/99584694/A_Federated_Learning_Based_Approach_for_Improving_Intrusion_Detection_in_Industrial_Internet_of_Things_Networks" TargetMode="External"/><Relationship Id="rId11" Type="http://schemas.openxmlformats.org/officeDocument/2006/relationships/hyperlink" Target="https://doi.org/10.1038/s41598-026-54748-x" TargetMode="External"/><Relationship Id="rId5" Type="http://schemas.openxmlformats.org/officeDocument/2006/relationships/hyperlink" Target="https://doi.org/10.3390/network3010008" TargetMode="External"/><Relationship Id="rId15" Type="http://schemas.openxmlformats.org/officeDocument/2006/relationships/hyperlink" Target="https://doi.org/10.7717/peerj-cs.3281" TargetMode="External"/><Relationship Id="rId10" Type="http://schemas.openxmlformats.org/officeDocument/2006/relationships/hyperlink" Target="https://www.nature.com/articles/s41598-026-56167-4.pdf" TargetMode="External"/><Relationship Id="rId4" Type="http://schemas.openxmlformats.org/officeDocument/2006/relationships/hyperlink" Target="https://www.nature.com/articles/s41598-025-32567-w" TargetMode="External"/><Relationship Id="rId9" Type="http://schemas.openxmlformats.org/officeDocument/2006/relationships/hyperlink" Target="https://doi.org/10.1038/s41598-026-56167-4" TargetMode="External"/><Relationship Id="rId14" Type="http://schemas.openxmlformats.org/officeDocument/2006/relationships/hyperlink" Target="https://www.sciencedirect.com/science/article/pii/S2542660524001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rightToLeft="1" zoomScaleNormal="100" workbookViewId="0"/>
  </sheetViews>
  <sheetFormatPr defaultColWidth="8.6640625" defaultRowHeight="14.4" x14ac:dyDescent="0.3"/>
  <cols>
    <col min="1" max="1" width="120" customWidth="1"/>
  </cols>
  <sheetData>
    <row r="1" spans="1:1" ht="1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2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 t="s">
        <v>5</v>
      </c>
    </row>
    <row r="8" spans="1:1" ht="15" customHeight="1" x14ac:dyDescent="0.3">
      <c r="A8" s="2" t="s">
        <v>6</v>
      </c>
    </row>
    <row r="9" spans="1:1" ht="15" customHeight="1" x14ac:dyDescent="0.3">
      <c r="A9" s="2" t="s">
        <v>7</v>
      </c>
    </row>
    <row r="10" spans="1:1" ht="15" customHeight="1" x14ac:dyDescent="0.3">
      <c r="A10" s="2" t="s">
        <v>8</v>
      </c>
    </row>
    <row r="11" spans="1:1" ht="15" customHeight="1" x14ac:dyDescent="0.3">
      <c r="A11" s="2"/>
    </row>
    <row r="12" spans="1:1" ht="15" customHeight="1" x14ac:dyDescent="0.3">
      <c r="A12" s="1" t="s">
        <v>9</v>
      </c>
    </row>
    <row r="13" spans="1:1" ht="15" customHeight="1" x14ac:dyDescent="0.3">
      <c r="A13" s="2" t="s">
        <v>10</v>
      </c>
    </row>
    <row r="14" spans="1:1" ht="15" customHeight="1" x14ac:dyDescent="0.3">
      <c r="A14" s="2" t="s">
        <v>11</v>
      </c>
    </row>
    <row r="15" spans="1:1" ht="15" customHeight="1" x14ac:dyDescent="0.3">
      <c r="A15" s="2" t="s">
        <v>12</v>
      </c>
    </row>
    <row r="16" spans="1:1" ht="15" customHeight="1" x14ac:dyDescent="0.3">
      <c r="A16" s="2" t="s">
        <v>13</v>
      </c>
    </row>
    <row r="17" spans="1:1" ht="15" customHeight="1" x14ac:dyDescent="0.3">
      <c r="A17" s="2" t="s">
        <v>14</v>
      </c>
    </row>
    <row r="18" spans="1:1" ht="15" customHeight="1" x14ac:dyDescent="0.3">
      <c r="A18" s="2" t="s">
        <v>15</v>
      </c>
    </row>
    <row r="19" spans="1:1" ht="15" customHeight="1" x14ac:dyDescent="0.3">
      <c r="A19" s="2"/>
    </row>
    <row r="20" spans="1:1" ht="15" customHeight="1" x14ac:dyDescent="0.3">
      <c r="A2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zoomScaleNormal="100" workbookViewId="0"/>
  </sheetViews>
  <sheetFormatPr defaultColWidth="8.6640625" defaultRowHeight="14.4" x14ac:dyDescent="0.3"/>
  <cols>
    <col min="1" max="1" width="8" customWidth="1"/>
    <col min="2" max="2" width="80" customWidth="1"/>
    <col min="3" max="3" width="40" customWidth="1"/>
    <col min="4" max="4" width="55" customWidth="1"/>
  </cols>
  <sheetData>
    <row r="1" spans="1:4" ht="15" customHeight="1" x14ac:dyDescent="0.3">
      <c r="A1" s="3" t="s">
        <v>17</v>
      </c>
      <c r="B1" s="3" t="s">
        <v>18</v>
      </c>
      <c r="C1" s="3" t="s">
        <v>19</v>
      </c>
      <c r="D1" s="3" t="s">
        <v>20</v>
      </c>
    </row>
    <row r="2" spans="1:4" ht="52.2" customHeight="1" x14ac:dyDescent="0.3">
      <c r="A2" s="4" t="s">
        <v>21</v>
      </c>
      <c r="B2" s="4" t="s">
        <v>22</v>
      </c>
      <c r="C2" s="5" t="s">
        <v>23</v>
      </c>
      <c r="D2" s="5" t="s">
        <v>24</v>
      </c>
    </row>
    <row r="3" spans="1:4" ht="39.6" customHeight="1" x14ac:dyDescent="0.3">
      <c r="A3" s="4" t="s">
        <v>25</v>
      </c>
      <c r="B3" s="4" t="s">
        <v>26</v>
      </c>
      <c r="C3" s="5" t="s">
        <v>27</v>
      </c>
      <c r="D3" s="5" t="s">
        <v>28</v>
      </c>
    </row>
    <row r="4" spans="1:4" ht="39.6" customHeight="1" x14ac:dyDescent="0.3">
      <c r="A4" s="4" t="s">
        <v>29</v>
      </c>
      <c r="B4" s="4" t="s">
        <v>30</v>
      </c>
      <c r="C4" s="5" t="s">
        <v>31</v>
      </c>
      <c r="D4" s="5" t="s">
        <v>32</v>
      </c>
    </row>
    <row r="5" spans="1:4" ht="39.6" customHeight="1" x14ac:dyDescent="0.3">
      <c r="A5" s="4" t="s">
        <v>33</v>
      </c>
      <c r="B5" s="4" t="s">
        <v>34</v>
      </c>
      <c r="C5" s="5" t="s">
        <v>35</v>
      </c>
      <c r="D5" s="5" t="s">
        <v>36</v>
      </c>
    </row>
    <row r="6" spans="1:4" ht="39.6" customHeight="1" x14ac:dyDescent="0.3">
      <c r="A6" s="4" t="s">
        <v>37</v>
      </c>
      <c r="B6" s="4" t="s">
        <v>38</v>
      </c>
      <c r="C6" s="5" t="s">
        <v>39</v>
      </c>
      <c r="D6" s="5" t="s">
        <v>40</v>
      </c>
    </row>
    <row r="7" spans="1:4" ht="39.6" customHeight="1" x14ac:dyDescent="0.3">
      <c r="A7" s="4" t="s">
        <v>41</v>
      </c>
      <c r="B7" s="4" t="s">
        <v>42</v>
      </c>
      <c r="C7" s="5" t="s">
        <v>43</v>
      </c>
      <c r="D7" s="5" t="s">
        <v>44</v>
      </c>
    </row>
    <row r="8" spans="1:4" ht="52.2" customHeight="1" x14ac:dyDescent="0.3">
      <c r="A8" s="4" t="s">
        <v>45</v>
      </c>
      <c r="B8" s="4" t="s">
        <v>46</v>
      </c>
      <c r="C8" s="5" t="s">
        <v>47</v>
      </c>
      <c r="D8" s="5" t="s">
        <v>48</v>
      </c>
    </row>
    <row r="9" spans="1:4" ht="52.2" customHeight="1" x14ac:dyDescent="0.3">
      <c r="A9" s="4" t="s">
        <v>49</v>
      </c>
      <c r="B9" s="4" t="s">
        <v>50</v>
      </c>
      <c r="C9" s="5" t="s">
        <v>51</v>
      </c>
      <c r="D9" s="5" t="s">
        <v>52</v>
      </c>
    </row>
  </sheetData>
  <hyperlinks>
    <hyperlink ref="C2" r:id="rId1" xr:uid="{00000000-0004-0000-0100-000000000000}"/>
    <hyperlink ref="D2" r:id="rId2" xr:uid="{00000000-0004-0000-0100-000001000000}"/>
    <hyperlink ref="C3" r:id="rId3" xr:uid="{00000000-0004-0000-0100-000002000000}"/>
    <hyperlink ref="D3" r:id="rId4" xr:uid="{00000000-0004-0000-0100-000003000000}"/>
    <hyperlink ref="C4" r:id="rId5" xr:uid="{00000000-0004-0000-0100-000004000000}"/>
    <hyperlink ref="D4" r:id="rId6" xr:uid="{00000000-0004-0000-0100-000005000000}"/>
    <hyperlink ref="C5" r:id="rId7" xr:uid="{00000000-0004-0000-0100-000006000000}"/>
    <hyperlink ref="D5" r:id="rId8" xr:uid="{00000000-0004-0000-0100-000007000000}"/>
    <hyperlink ref="C6" r:id="rId9" xr:uid="{00000000-0004-0000-0100-000008000000}"/>
    <hyperlink ref="D6" r:id="rId10" xr:uid="{00000000-0004-0000-0100-000009000000}"/>
    <hyperlink ref="C7" r:id="rId11" xr:uid="{00000000-0004-0000-0100-00000A000000}"/>
    <hyperlink ref="D7" r:id="rId12" xr:uid="{00000000-0004-0000-0100-00000B000000}"/>
    <hyperlink ref="C8" r:id="rId13" xr:uid="{00000000-0004-0000-0100-00000C000000}"/>
    <hyperlink ref="D8" r:id="rId14" xr:uid="{00000000-0004-0000-0100-00000D000000}"/>
    <hyperlink ref="C9" r:id="rId15" xr:uid="{00000000-0004-0000-0100-00000E000000}"/>
    <hyperlink ref="D9" r:id="rId16" xr:uid="{00000000-0004-0000-0100-00000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6"/>
  <sheetViews>
    <sheetView zoomScaleNormal="100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I26" sqref="I26"/>
    </sheetView>
  </sheetViews>
  <sheetFormatPr defaultColWidth="8.6640625" defaultRowHeight="14.4" x14ac:dyDescent="0.3"/>
  <cols>
    <col min="1" max="1" width="8" customWidth="1"/>
    <col min="2" max="2" width="6" customWidth="1"/>
    <col min="3" max="3" width="34" customWidth="1"/>
    <col min="4" max="4" width="26" customWidth="1"/>
    <col min="5" max="5" width="20" customWidth="1"/>
    <col min="6" max="6" width="70" customWidth="1"/>
    <col min="7" max="7" width="13" customWidth="1"/>
    <col min="8" max="8" width="20" customWidth="1"/>
    <col min="9" max="9" width="30" customWidth="1"/>
  </cols>
  <sheetData>
    <row r="1" spans="1:9" ht="26.85" customHeight="1" x14ac:dyDescent="0.3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spans="1:9" ht="23.85" customHeight="1" x14ac:dyDescent="0.3">
      <c r="A2" s="6" t="s">
        <v>21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7" t="s">
        <v>67</v>
      </c>
      <c r="H2" s="7"/>
      <c r="I2" s="7" t="s">
        <v>68</v>
      </c>
    </row>
    <row r="3" spans="1:9" ht="35.1" customHeight="1" x14ac:dyDescent="0.3">
      <c r="A3" s="6" t="s">
        <v>21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  <c r="G3" s="7" t="s">
        <v>67</v>
      </c>
      <c r="H3" s="7"/>
      <c r="I3" s="7" t="s">
        <v>74</v>
      </c>
    </row>
    <row r="4" spans="1:9" ht="35.1" customHeight="1" x14ac:dyDescent="0.3">
      <c r="A4" s="6" t="s">
        <v>21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7" t="s">
        <v>67</v>
      </c>
      <c r="H4" s="7"/>
      <c r="I4" s="7" t="s">
        <v>80</v>
      </c>
    </row>
    <row r="5" spans="1:9" ht="23.85" customHeight="1" x14ac:dyDescent="0.3">
      <c r="A5" s="6" t="s">
        <v>21</v>
      </c>
      <c r="B5" s="6" t="s">
        <v>81</v>
      </c>
      <c r="C5" s="6" t="s">
        <v>82</v>
      </c>
      <c r="D5" s="6" t="s">
        <v>83</v>
      </c>
      <c r="E5" s="6" t="s">
        <v>84</v>
      </c>
      <c r="F5" s="6" t="s">
        <v>85</v>
      </c>
      <c r="G5" s="7" t="s">
        <v>67</v>
      </c>
      <c r="H5" s="7"/>
      <c r="I5" s="7" t="s">
        <v>86</v>
      </c>
    </row>
    <row r="6" spans="1:9" ht="23.85" customHeight="1" x14ac:dyDescent="0.3">
      <c r="A6" s="6" t="s">
        <v>21</v>
      </c>
      <c r="B6" s="6" t="s">
        <v>87</v>
      </c>
      <c r="C6" s="6" t="s">
        <v>88</v>
      </c>
      <c r="D6" s="6" t="s">
        <v>89</v>
      </c>
      <c r="E6" s="6" t="s">
        <v>90</v>
      </c>
      <c r="F6" s="6" t="s">
        <v>91</v>
      </c>
      <c r="G6" s="7" t="s">
        <v>67</v>
      </c>
      <c r="H6" s="7"/>
      <c r="I6" s="7" t="s">
        <v>92</v>
      </c>
    </row>
    <row r="7" spans="1:9" ht="23.85" customHeight="1" x14ac:dyDescent="0.3">
      <c r="A7" s="6" t="s">
        <v>21</v>
      </c>
      <c r="B7" s="6" t="s">
        <v>93</v>
      </c>
      <c r="C7" s="6" t="s">
        <v>94</v>
      </c>
      <c r="D7" s="6" t="s">
        <v>95</v>
      </c>
      <c r="E7" s="6" t="s">
        <v>90</v>
      </c>
      <c r="F7" s="6" t="s">
        <v>96</v>
      </c>
      <c r="G7" s="7" t="s">
        <v>67</v>
      </c>
      <c r="H7" s="7"/>
      <c r="I7" s="7" t="s">
        <v>97</v>
      </c>
    </row>
    <row r="8" spans="1:9" ht="23.85" customHeight="1" x14ac:dyDescent="0.3">
      <c r="A8" s="6" t="s">
        <v>21</v>
      </c>
      <c r="B8" s="6" t="s">
        <v>98</v>
      </c>
      <c r="C8" s="6" t="s">
        <v>99</v>
      </c>
      <c r="D8" s="6" t="s">
        <v>100</v>
      </c>
      <c r="E8" s="6" t="s">
        <v>72</v>
      </c>
      <c r="F8" s="6" t="s">
        <v>101</v>
      </c>
      <c r="G8" s="7" t="s">
        <v>67</v>
      </c>
      <c r="H8" s="7"/>
      <c r="I8" s="7" t="s">
        <v>97</v>
      </c>
    </row>
    <row r="9" spans="1:9" ht="23.85" customHeight="1" x14ac:dyDescent="0.3">
      <c r="A9" s="6" t="s">
        <v>21</v>
      </c>
      <c r="B9" s="6" t="s">
        <v>102</v>
      </c>
      <c r="C9" s="6" t="s">
        <v>103</v>
      </c>
      <c r="D9" s="6" t="s">
        <v>71</v>
      </c>
      <c r="E9" s="6" t="s">
        <v>72</v>
      </c>
      <c r="F9" s="6" t="s">
        <v>104</v>
      </c>
      <c r="G9" s="7" t="s">
        <v>67</v>
      </c>
      <c r="H9" s="7"/>
      <c r="I9" s="7" t="s">
        <v>97</v>
      </c>
    </row>
    <row r="10" spans="1:9" ht="35.1" customHeight="1" x14ac:dyDescent="0.3">
      <c r="A10" s="6" t="s">
        <v>21</v>
      </c>
      <c r="B10" s="6" t="s">
        <v>105</v>
      </c>
      <c r="C10" s="6" t="s">
        <v>106</v>
      </c>
      <c r="D10" s="6" t="s">
        <v>107</v>
      </c>
      <c r="E10" s="6" t="s">
        <v>108</v>
      </c>
      <c r="F10" s="6" t="s">
        <v>109</v>
      </c>
      <c r="G10" s="7" t="s">
        <v>67</v>
      </c>
      <c r="H10" s="7"/>
      <c r="I10" s="7" t="s">
        <v>97</v>
      </c>
    </row>
    <row r="11" spans="1:9" ht="35.1" customHeight="1" x14ac:dyDescent="0.3">
      <c r="A11" s="6" t="s">
        <v>21</v>
      </c>
      <c r="B11" s="6" t="s">
        <v>110</v>
      </c>
      <c r="C11" s="6" t="s">
        <v>111</v>
      </c>
      <c r="D11" s="6" t="s">
        <v>100</v>
      </c>
      <c r="E11" s="6" t="s">
        <v>72</v>
      </c>
      <c r="F11" s="6" t="s">
        <v>112</v>
      </c>
      <c r="G11" s="7" t="s">
        <v>67</v>
      </c>
      <c r="H11" s="7"/>
      <c r="I11" s="7" t="s">
        <v>97</v>
      </c>
    </row>
    <row r="12" spans="1:9" ht="15" customHeight="1" x14ac:dyDescent="0.3">
      <c r="A12" s="6" t="s">
        <v>21</v>
      </c>
      <c r="B12" s="6" t="s">
        <v>113</v>
      </c>
      <c r="C12" s="6" t="s">
        <v>114</v>
      </c>
      <c r="D12" s="6" t="s">
        <v>100</v>
      </c>
      <c r="E12" s="6" t="s">
        <v>72</v>
      </c>
      <c r="F12" s="6" t="s">
        <v>115</v>
      </c>
      <c r="G12" s="7" t="s">
        <v>67</v>
      </c>
      <c r="H12" s="7"/>
      <c r="I12" s="7" t="s">
        <v>97</v>
      </c>
    </row>
    <row r="13" spans="1:9" ht="35.1" customHeight="1" x14ac:dyDescent="0.3">
      <c r="A13" s="6" t="s">
        <v>25</v>
      </c>
      <c r="B13" s="6" t="s">
        <v>62</v>
      </c>
      <c r="C13" s="6" t="s">
        <v>63</v>
      </c>
      <c r="D13" s="6" t="s">
        <v>64</v>
      </c>
      <c r="E13" s="6" t="s">
        <v>78</v>
      </c>
      <c r="F13" s="6" t="s">
        <v>116</v>
      </c>
      <c r="G13" s="7" t="s">
        <v>67</v>
      </c>
      <c r="H13" s="7"/>
      <c r="I13" s="7" t="s">
        <v>97</v>
      </c>
    </row>
    <row r="14" spans="1:9" ht="35.1" customHeight="1" x14ac:dyDescent="0.3">
      <c r="A14" s="6" t="s">
        <v>25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117</v>
      </c>
      <c r="G14" s="7" t="s">
        <v>67</v>
      </c>
      <c r="H14" s="7"/>
      <c r="I14" s="7" t="s">
        <v>97</v>
      </c>
    </row>
    <row r="15" spans="1:9" ht="35.1" customHeight="1" x14ac:dyDescent="0.3">
      <c r="A15" s="6" t="s">
        <v>25</v>
      </c>
      <c r="B15" s="6" t="s">
        <v>75</v>
      </c>
      <c r="C15" s="6" t="s">
        <v>76</v>
      </c>
      <c r="D15" s="6" t="s">
        <v>77</v>
      </c>
      <c r="E15" s="6" t="s">
        <v>118</v>
      </c>
      <c r="F15" s="6" t="s">
        <v>119</v>
      </c>
      <c r="G15" s="7" t="s">
        <v>67</v>
      </c>
      <c r="H15" s="7"/>
      <c r="I15" s="7" t="s">
        <v>97</v>
      </c>
    </row>
    <row r="16" spans="1:9" ht="23.85" customHeight="1" x14ac:dyDescent="0.3">
      <c r="A16" s="6" t="s">
        <v>25</v>
      </c>
      <c r="B16" s="6" t="s">
        <v>81</v>
      </c>
      <c r="C16" s="6" t="s">
        <v>82</v>
      </c>
      <c r="D16" s="6" t="s">
        <v>83</v>
      </c>
      <c r="E16" s="6" t="s">
        <v>120</v>
      </c>
      <c r="F16" s="6" t="s">
        <v>121</v>
      </c>
      <c r="G16" s="7" t="s">
        <v>67</v>
      </c>
      <c r="H16" s="7"/>
      <c r="I16" s="7" t="s">
        <v>97</v>
      </c>
    </row>
    <row r="17" spans="1:9" ht="23.85" customHeight="1" x14ac:dyDescent="0.3">
      <c r="A17" s="6" t="s">
        <v>25</v>
      </c>
      <c r="B17" s="6" t="s">
        <v>87</v>
      </c>
      <c r="C17" s="6" t="s">
        <v>88</v>
      </c>
      <c r="D17" s="6" t="s">
        <v>89</v>
      </c>
      <c r="E17" s="6" t="s">
        <v>122</v>
      </c>
      <c r="F17" s="6" t="s">
        <v>123</v>
      </c>
      <c r="G17" s="7" t="s">
        <v>67</v>
      </c>
      <c r="H17" s="7"/>
      <c r="I17" s="7" t="s">
        <v>124</v>
      </c>
    </row>
    <row r="18" spans="1:9" ht="23.85" customHeight="1" x14ac:dyDescent="0.3">
      <c r="A18" s="6" t="s">
        <v>25</v>
      </c>
      <c r="B18" s="6" t="s">
        <v>93</v>
      </c>
      <c r="C18" s="6" t="s">
        <v>94</v>
      </c>
      <c r="D18" s="6" t="s">
        <v>95</v>
      </c>
      <c r="E18" s="6" t="s">
        <v>125</v>
      </c>
      <c r="F18" s="6" t="s">
        <v>126</v>
      </c>
      <c r="G18" s="7" t="s">
        <v>67</v>
      </c>
      <c r="H18" s="7"/>
      <c r="I18" s="7" t="s">
        <v>97</v>
      </c>
    </row>
    <row r="19" spans="1:9" ht="23.85" customHeight="1" x14ac:dyDescent="0.3">
      <c r="A19" s="6" t="s">
        <v>25</v>
      </c>
      <c r="B19" s="6" t="s">
        <v>98</v>
      </c>
      <c r="C19" s="6" t="s">
        <v>99</v>
      </c>
      <c r="D19" s="6" t="s">
        <v>100</v>
      </c>
      <c r="E19" s="6" t="s">
        <v>72</v>
      </c>
      <c r="F19" s="6" t="s">
        <v>127</v>
      </c>
      <c r="G19" s="7" t="s">
        <v>67</v>
      </c>
      <c r="H19" s="7"/>
      <c r="I19" s="7" t="s">
        <v>128</v>
      </c>
    </row>
    <row r="20" spans="1:9" ht="35.1" customHeight="1" x14ac:dyDescent="0.3">
      <c r="A20" s="6" t="s">
        <v>25</v>
      </c>
      <c r="B20" s="6" t="s">
        <v>102</v>
      </c>
      <c r="C20" s="6" t="s">
        <v>103</v>
      </c>
      <c r="D20" s="6" t="s">
        <v>71</v>
      </c>
      <c r="E20" s="6" t="s">
        <v>72</v>
      </c>
      <c r="F20" s="6" t="s">
        <v>129</v>
      </c>
      <c r="G20" s="7" t="s">
        <v>130</v>
      </c>
      <c r="H20" s="7" t="s">
        <v>131</v>
      </c>
      <c r="I20" s="7" t="s">
        <v>132</v>
      </c>
    </row>
    <row r="21" spans="1:9" ht="35.1" customHeight="1" x14ac:dyDescent="0.3">
      <c r="A21" s="6" t="s">
        <v>25</v>
      </c>
      <c r="B21" s="6" t="s">
        <v>105</v>
      </c>
      <c r="C21" s="6" t="s">
        <v>106</v>
      </c>
      <c r="D21" s="6" t="s">
        <v>107</v>
      </c>
      <c r="E21" s="6" t="s">
        <v>108</v>
      </c>
      <c r="F21" s="6" t="s">
        <v>133</v>
      </c>
      <c r="G21" s="7" t="s">
        <v>67</v>
      </c>
      <c r="H21" s="7"/>
      <c r="I21" s="7" t="s">
        <v>134</v>
      </c>
    </row>
    <row r="22" spans="1:9" ht="35.1" customHeight="1" x14ac:dyDescent="0.3">
      <c r="A22" s="6" t="s">
        <v>25</v>
      </c>
      <c r="B22" s="6" t="s">
        <v>110</v>
      </c>
      <c r="C22" s="6" t="s">
        <v>111</v>
      </c>
      <c r="D22" s="6" t="s">
        <v>100</v>
      </c>
      <c r="E22" s="6" t="s">
        <v>131</v>
      </c>
      <c r="F22" s="6" t="s">
        <v>135</v>
      </c>
      <c r="G22" s="7" t="s">
        <v>67</v>
      </c>
      <c r="H22" s="7"/>
      <c r="I22" s="7" t="s">
        <v>97</v>
      </c>
    </row>
    <row r="23" spans="1:9" ht="23.85" customHeight="1" x14ac:dyDescent="0.3">
      <c r="A23" s="6" t="s">
        <v>25</v>
      </c>
      <c r="B23" s="6" t="s">
        <v>113</v>
      </c>
      <c r="C23" s="6" t="s">
        <v>114</v>
      </c>
      <c r="D23" s="6" t="s">
        <v>100</v>
      </c>
      <c r="E23" s="6" t="s">
        <v>72</v>
      </c>
      <c r="F23" s="6" t="s">
        <v>136</v>
      </c>
      <c r="G23" s="7" t="s">
        <v>67</v>
      </c>
      <c r="H23" s="7"/>
      <c r="I23" s="7" t="s">
        <v>137</v>
      </c>
    </row>
    <row r="24" spans="1:9" ht="35.1" customHeight="1" x14ac:dyDescent="0.3">
      <c r="A24" s="6" t="s">
        <v>29</v>
      </c>
      <c r="B24" s="6" t="s">
        <v>62</v>
      </c>
      <c r="C24" s="6" t="s">
        <v>63</v>
      </c>
      <c r="D24" s="6" t="s">
        <v>64</v>
      </c>
      <c r="E24" s="6" t="s">
        <v>78</v>
      </c>
      <c r="F24" s="6" t="s">
        <v>138</v>
      </c>
      <c r="G24" s="7" t="s">
        <v>67</v>
      </c>
      <c r="H24" s="7"/>
      <c r="I24" s="7" t="s">
        <v>139</v>
      </c>
    </row>
    <row r="25" spans="1:9" ht="35.1" customHeight="1" x14ac:dyDescent="0.3">
      <c r="A25" s="6" t="s">
        <v>29</v>
      </c>
      <c r="B25" s="6" t="s">
        <v>69</v>
      </c>
      <c r="C25" s="6" t="s">
        <v>70</v>
      </c>
      <c r="D25" s="6" t="s">
        <v>71</v>
      </c>
      <c r="E25" s="6" t="s">
        <v>140</v>
      </c>
      <c r="F25" s="6" t="s">
        <v>141</v>
      </c>
      <c r="G25" s="7" t="s">
        <v>67</v>
      </c>
      <c r="H25" s="7"/>
      <c r="I25" s="7" t="s">
        <v>142</v>
      </c>
    </row>
    <row r="26" spans="1:9" ht="35.1" customHeight="1" x14ac:dyDescent="0.3">
      <c r="A26" s="6" t="s">
        <v>29</v>
      </c>
      <c r="B26" s="6" t="s">
        <v>75</v>
      </c>
      <c r="C26" s="6" t="s">
        <v>76</v>
      </c>
      <c r="D26" s="6" t="s">
        <v>77</v>
      </c>
      <c r="E26" s="6" t="s">
        <v>78</v>
      </c>
      <c r="F26" s="6" t="s">
        <v>143</v>
      </c>
      <c r="G26" s="7" t="s">
        <v>67</v>
      </c>
      <c r="H26" s="7"/>
      <c r="I26" s="7" t="s">
        <v>97</v>
      </c>
    </row>
    <row r="27" spans="1:9" ht="23.85" customHeight="1" x14ac:dyDescent="0.3">
      <c r="A27" s="6" t="s">
        <v>29</v>
      </c>
      <c r="B27" s="6" t="s">
        <v>81</v>
      </c>
      <c r="C27" s="6" t="s">
        <v>82</v>
      </c>
      <c r="D27" s="6" t="s">
        <v>83</v>
      </c>
      <c r="E27" s="6" t="s">
        <v>120</v>
      </c>
      <c r="F27" s="6" t="s">
        <v>144</v>
      </c>
      <c r="G27" s="7" t="s">
        <v>67</v>
      </c>
      <c r="H27" s="7"/>
      <c r="I27" s="7" t="s">
        <v>97</v>
      </c>
    </row>
    <row r="28" spans="1:9" ht="35.1" customHeight="1" x14ac:dyDescent="0.3">
      <c r="A28" s="6" t="s">
        <v>29</v>
      </c>
      <c r="B28" s="6" t="s">
        <v>87</v>
      </c>
      <c r="C28" s="6" t="s">
        <v>88</v>
      </c>
      <c r="D28" s="6" t="s">
        <v>89</v>
      </c>
      <c r="E28" s="6" t="s">
        <v>145</v>
      </c>
      <c r="F28" s="6" t="s">
        <v>146</v>
      </c>
      <c r="G28" s="7" t="s">
        <v>67</v>
      </c>
      <c r="H28" s="7"/>
      <c r="I28" s="7" t="s">
        <v>97</v>
      </c>
    </row>
    <row r="29" spans="1:9" ht="23.85" customHeight="1" x14ac:dyDescent="0.3">
      <c r="A29" s="6" t="s">
        <v>29</v>
      </c>
      <c r="B29" s="6" t="s">
        <v>93</v>
      </c>
      <c r="C29" s="6" t="s">
        <v>94</v>
      </c>
      <c r="D29" s="6" t="s">
        <v>95</v>
      </c>
      <c r="E29" s="6" t="s">
        <v>90</v>
      </c>
      <c r="F29" s="6" t="s">
        <v>147</v>
      </c>
      <c r="G29" s="7" t="s">
        <v>67</v>
      </c>
      <c r="H29" s="7"/>
      <c r="I29" s="7" t="s">
        <v>97</v>
      </c>
    </row>
    <row r="30" spans="1:9" ht="23.85" customHeight="1" x14ac:dyDescent="0.3">
      <c r="A30" s="6" t="s">
        <v>29</v>
      </c>
      <c r="B30" s="6" t="s">
        <v>98</v>
      </c>
      <c r="C30" s="6" t="s">
        <v>99</v>
      </c>
      <c r="D30" s="6" t="s">
        <v>100</v>
      </c>
      <c r="E30" s="6" t="s">
        <v>72</v>
      </c>
      <c r="F30" s="6" t="s">
        <v>148</v>
      </c>
      <c r="G30" s="7" t="s">
        <v>67</v>
      </c>
      <c r="H30" s="7"/>
      <c r="I30" s="7" t="s">
        <v>97</v>
      </c>
    </row>
    <row r="31" spans="1:9" ht="23.85" customHeight="1" x14ac:dyDescent="0.3">
      <c r="A31" s="6" t="s">
        <v>29</v>
      </c>
      <c r="B31" s="6" t="s">
        <v>102</v>
      </c>
      <c r="C31" s="6" t="s">
        <v>103</v>
      </c>
      <c r="D31" s="6" t="s">
        <v>71</v>
      </c>
      <c r="E31" s="6" t="s">
        <v>131</v>
      </c>
      <c r="F31" s="6" t="s">
        <v>149</v>
      </c>
      <c r="G31" s="7" t="s">
        <v>67</v>
      </c>
      <c r="H31" s="7"/>
      <c r="I31" s="7" t="s">
        <v>97</v>
      </c>
    </row>
    <row r="32" spans="1:9" ht="35.1" customHeight="1" x14ac:dyDescent="0.3">
      <c r="A32" s="6" t="s">
        <v>29</v>
      </c>
      <c r="B32" s="6" t="s">
        <v>105</v>
      </c>
      <c r="C32" s="6" t="s">
        <v>106</v>
      </c>
      <c r="D32" s="6" t="s">
        <v>107</v>
      </c>
      <c r="E32" s="6" t="s">
        <v>108</v>
      </c>
      <c r="F32" s="6" t="s">
        <v>150</v>
      </c>
      <c r="G32" s="7" t="s">
        <v>67</v>
      </c>
      <c r="H32" s="7"/>
      <c r="I32" s="7" t="s">
        <v>97</v>
      </c>
    </row>
    <row r="33" spans="1:9" ht="35.1" customHeight="1" x14ac:dyDescent="0.3">
      <c r="A33" s="6" t="s">
        <v>29</v>
      </c>
      <c r="B33" s="6" t="s">
        <v>110</v>
      </c>
      <c r="C33" s="6" t="s">
        <v>111</v>
      </c>
      <c r="D33" s="6" t="s">
        <v>100</v>
      </c>
      <c r="E33" s="6" t="s">
        <v>72</v>
      </c>
      <c r="F33" s="6" t="s">
        <v>151</v>
      </c>
      <c r="G33" s="7" t="s">
        <v>67</v>
      </c>
      <c r="H33" s="7"/>
      <c r="I33" s="7" t="s">
        <v>97</v>
      </c>
    </row>
    <row r="34" spans="1:9" ht="15" customHeight="1" x14ac:dyDescent="0.3">
      <c r="A34" s="6" t="s">
        <v>29</v>
      </c>
      <c r="B34" s="6" t="s">
        <v>113</v>
      </c>
      <c r="C34" s="6" t="s">
        <v>114</v>
      </c>
      <c r="D34" s="6" t="s">
        <v>100</v>
      </c>
      <c r="E34" s="6" t="s">
        <v>72</v>
      </c>
      <c r="F34" s="6" t="s">
        <v>152</v>
      </c>
      <c r="G34" s="7" t="s">
        <v>67</v>
      </c>
      <c r="H34" s="7"/>
      <c r="I34" s="7" t="s">
        <v>97</v>
      </c>
    </row>
    <row r="35" spans="1:9" ht="23.85" customHeight="1" x14ac:dyDescent="0.3">
      <c r="A35" s="6" t="s">
        <v>33</v>
      </c>
      <c r="B35" s="6" t="s">
        <v>62</v>
      </c>
      <c r="C35" s="6" t="s">
        <v>63</v>
      </c>
      <c r="D35" s="6" t="s">
        <v>64</v>
      </c>
      <c r="E35" s="6" t="s">
        <v>78</v>
      </c>
      <c r="F35" s="6" t="s">
        <v>153</v>
      </c>
      <c r="G35" s="7" t="s">
        <v>67</v>
      </c>
      <c r="H35" s="7"/>
      <c r="I35" s="7" t="s">
        <v>97</v>
      </c>
    </row>
    <row r="36" spans="1:9" ht="35.1" customHeight="1" x14ac:dyDescent="0.3">
      <c r="A36" s="6" t="s">
        <v>33</v>
      </c>
      <c r="B36" s="6" t="s">
        <v>69</v>
      </c>
      <c r="C36" s="6" t="s">
        <v>70</v>
      </c>
      <c r="D36" s="6" t="s">
        <v>71</v>
      </c>
      <c r="E36" s="6" t="s">
        <v>72</v>
      </c>
      <c r="F36" s="6" t="s">
        <v>154</v>
      </c>
      <c r="G36" s="7" t="s">
        <v>67</v>
      </c>
      <c r="H36" s="7"/>
      <c r="I36" s="7" t="s">
        <v>97</v>
      </c>
    </row>
    <row r="37" spans="1:9" ht="35.1" customHeight="1" x14ac:dyDescent="0.3">
      <c r="A37" s="6" t="s">
        <v>33</v>
      </c>
      <c r="B37" s="6" t="s">
        <v>75</v>
      </c>
      <c r="C37" s="6" t="s">
        <v>76</v>
      </c>
      <c r="D37" s="6" t="s">
        <v>77</v>
      </c>
      <c r="E37" s="6" t="s">
        <v>78</v>
      </c>
      <c r="F37" s="6" t="s">
        <v>155</v>
      </c>
      <c r="G37" s="7" t="s">
        <v>67</v>
      </c>
      <c r="H37" s="7"/>
      <c r="I37" s="7" t="s">
        <v>97</v>
      </c>
    </row>
    <row r="38" spans="1:9" ht="23.85" customHeight="1" x14ac:dyDescent="0.3">
      <c r="A38" s="6" t="s">
        <v>33</v>
      </c>
      <c r="B38" s="6" t="s">
        <v>81</v>
      </c>
      <c r="C38" s="6" t="s">
        <v>82</v>
      </c>
      <c r="D38" s="6" t="s">
        <v>83</v>
      </c>
      <c r="E38" s="6" t="s">
        <v>156</v>
      </c>
      <c r="F38" s="6" t="s">
        <v>157</v>
      </c>
      <c r="G38" s="7" t="s">
        <v>67</v>
      </c>
      <c r="H38" s="7"/>
      <c r="I38" s="7" t="s">
        <v>97</v>
      </c>
    </row>
    <row r="39" spans="1:9" ht="23.85" customHeight="1" x14ac:dyDescent="0.3">
      <c r="A39" s="6" t="s">
        <v>33</v>
      </c>
      <c r="B39" s="6" t="s">
        <v>87</v>
      </c>
      <c r="C39" s="6" t="s">
        <v>88</v>
      </c>
      <c r="D39" s="6" t="s">
        <v>89</v>
      </c>
      <c r="E39" s="6" t="s">
        <v>90</v>
      </c>
      <c r="F39" s="6" t="s">
        <v>158</v>
      </c>
      <c r="G39" s="7" t="s">
        <v>67</v>
      </c>
      <c r="H39" s="7"/>
      <c r="I39" s="7" t="s">
        <v>97</v>
      </c>
    </row>
    <row r="40" spans="1:9" ht="35.1" customHeight="1" x14ac:dyDescent="0.3">
      <c r="A40" s="6" t="s">
        <v>33</v>
      </c>
      <c r="B40" s="6" t="s">
        <v>93</v>
      </c>
      <c r="C40" s="6" t="s">
        <v>94</v>
      </c>
      <c r="D40" s="6" t="s">
        <v>95</v>
      </c>
      <c r="E40" s="6" t="s">
        <v>90</v>
      </c>
      <c r="F40" s="6" t="s">
        <v>159</v>
      </c>
      <c r="G40" s="7" t="s">
        <v>67</v>
      </c>
      <c r="H40" s="7"/>
      <c r="I40" s="7" t="s">
        <v>97</v>
      </c>
    </row>
    <row r="41" spans="1:9" ht="23.85" customHeight="1" x14ac:dyDescent="0.3">
      <c r="A41" s="6" t="s">
        <v>33</v>
      </c>
      <c r="B41" s="6" t="s">
        <v>98</v>
      </c>
      <c r="C41" s="6" t="s">
        <v>99</v>
      </c>
      <c r="D41" s="6" t="s">
        <v>100</v>
      </c>
      <c r="E41" s="6" t="s">
        <v>72</v>
      </c>
      <c r="F41" s="6" t="s">
        <v>160</v>
      </c>
      <c r="G41" s="7" t="s">
        <v>67</v>
      </c>
      <c r="H41" s="7"/>
      <c r="I41" s="7" t="s">
        <v>97</v>
      </c>
    </row>
    <row r="42" spans="1:9" ht="23.85" customHeight="1" x14ac:dyDescent="0.3">
      <c r="A42" s="6" t="s">
        <v>33</v>
      </c>
      <c r="B42" s="6" t="s">
        <v>102</v>
      </c>
      <c r="C42" s="6" t="s">
        <v>103</v>
      </c>
      <c r="D42" s="6" t="s">
        <v>71</v>
      </c>
      <c r="E42" s="6" t="s">
        <v>131</v>
      </c>
      <c r="F42" s="6" t="s">
        <v>161</v>
      </c>
      <c r="G42" s="7" t="s">
        <v>67</v>
      </c>
      <c r="H42" s="7"/>
      <c r="I42" s="7" t="s">
        <v>97</v>
      </c>
    </row>
    <row r="43" spans="1:9" ht="35.1" customHeight="1" x14ac:dyDescent="0.3">
      <c r="A43" s="6" t="s">
        <v>33</v>
      </c>
      <c r="B43" s="6" t="s">
        <v>105</v>
      </c>
      <c r="C43" s="6" t="s">
        <v>106</v>
      </c>
      <c r="D43" s="6" t="s">
        <v>107</v>
      </c>
      <c r="E43" s="6" t="s">
        <v>108</v>
      </c>
      <c r="F43" s="6" t="s">
        <v>162</v>
      </c>
      <c r="G43" s="7" t="s">
        <v>67</v>
      </c>
      <c r="H43" s="7"/>
      <c r="I43" s="7" t="s">
        <v>97</v>
      </c>
    </row>
    <row r="44" spans="1:9" ht="35.1" customHeight="1" x14ac:dyDescent="0.3">
      <c r="A44" s="6" t="s">
        <v>33</v>
      </c>
      <c r="B44" s="6" t="s">
        <v>110</v>
      </c>
      <c r="C44" s="6" t="s">
        <v>111</v>
      </c>
      <c r="D44" s="6" t="s">
        <v>100</v>
      </c>
      <c r="E44" s="6" t="s">
        <v>72</v>
      </c>
      <c r="F44" s="6" t="s">
        <v>163</v>
      </c>
      <c r="G44" s="7" t="s">
        <v>67</v>
      </c>
      <c r="H44" s="7"/>
      <c r="I44" s="7" t="s">
        <v>97</v>
      </c>
    </row>
    <row r="45" spans="1:9" ht="15" customHeight="1" x14ac:dyDescent="0.3">
      <c r="A45" s="6" t="s">
        <v>33</v>
      </c>
      <c r="B45" s="6" t="s">
        <v>113</v>
      </c>
      <c r="C45" s="6" t="s">
        <v>114</v>
      </c>
      <c r="D45" s="6" t="s">
        <v>100</v>
      </c>
      <c r="E45" s="6" t="s">
        <v>72</v>
      </c>
      <c r="F45" s="6" t="s">
        <v>164</v>
      </c>
      <c r="G45" s="7" t="s">
        <v>67</v>
      </c>
      <c r="H45" s="7"/>
      <c r="I45" s="7" t="s">
        <v>97</v>
      </c>
    </row>
    <row r="46" spans="1:9" ht="35.1" customHeight="1" x14ac:dyDescent="0.3">
      <c r="A46" s="6" t="s">
        <v>37</v>
      </c>
      <c r="B46" s="6" t="s">
        <v>62</v>
      </c>
      <c r="C46" s="6" t="s">
        <v>63</v>
      </c>
      <c r="D46" s="6" t="s">
        <v>64</v>
      </c>
      <c r="E46" s="6" t="s">
        <v>78</v>
      </c>
      <c r="F46" s="6" t="s">
        <v>165</v>
      </c>
      <c r="G46" s="7" t="s">
        <v>67</v>
      </c>
      <c r="H46" s="7"/>
      <c r="I46" s="7" t="s">
        <v>97</v>
      </c>
    </row>
    <row r="47" spans="1:9" ht="35.1" customHeight="1" x14ac:dyDescent="0.3">
      <c r="A47" s="6" t="s">
        <v>37</v>
      </c>
      <c r="B47" s="6" t="s">
        <v>69</v>
      </c>
      <c r="C47" s="6" t="s">
        <v>70</v>
      </c>
      <c r="D47" s="6" t="s">
        <v>71</v>
      </c>
      <c r="E47" s="6" t="s">
        <v>140</v>
      </c>
      <c r="F47" s="6" t="s">
        <v>166</v>
      </c>
      <c r="G47" s="7" t="s">
        <v>67</v>
      </c>
      <c r="H47" s="7"/>
      <c r="I47" s="7" t="s">
        <v>97</v>
      </c>
    </row>
    <row r="48" spans="1:9" ht="35.1" customHeight="1" x14ac:dyDescent="0.3">
      <c r="A48" s="6" t="s">
        <v>37</v>
      </c>
      <c r="B48" s="6" t="s">
        <v>75</v>
      </c>
      <c r="C48" s="6" t="s">
        <v>76</v>
      </c>
      <c r="D48" s="6" t="s">
        <v>77</v>
      </c>
      <c r="E48" s="6" t="s">
        <v>78</v>
      </c>
      <c r="F48" s="6" t="s">
        <v>167</v>
      </c>
      <c r="G48" s="7" t="s">
        <v>67</v>
      </c>
      <c r="H48" s="7"/>
      <c r="I48" s="7" t="s">
        <v>97</v>
      </c>
    </row>
    <row r="49" spans="1:9" ht="23.85" customHeight="1" x14ac:dyDescent="0.3">
      <c r="A49" s="6" t="s">
        <v>37</v>
      </c>
      <c r="B49" s="6" t="s">
        <v>81</v>
      </c>
      <c r="C49" s="6" t="s">
        <v>82</v>
      </c>
      <c r="D49" s="6" t="s">
        <v>83</v>
      </c>
      <c r="E49" s="6" t="s">
        <v>120</v>
      </c>
      <c r="F49" s="6" t="s">
        <v>168</v>
      </c>
      <c r="G49" s="7" t="s">
        <v>67</v>
      </c>
      <c r="H49" s="7"/>
      <c r="I49" s="7" t="s">
        <v>97</v>
      </c>
    </row>
    <row r="50" spans="1:9" ht="23.85" customHeight="1" x14ac:dyDescent="0.3">
      <c r="A50" s="6" t="s">
        <v>37</v>
      </c>
      <c r="B50" s="6" t="s">
        <v>87</v>
      </c>
      <c r="C50" s="6" t="s">
        <v>88</v>
      </c>
      <c r="D50" s="6" t="s">
        <v>89</v>
      </c>
      <c r="E50" s="6" t="s">
        <v>145</v>
      </c>
      <c r="F50" s="6" t="s">
        <v>169</v>
      </c>
      <c r="G50" s="7" t="s">
        <v>67</v>
      </c>
      <c r="H50" s="7"/>
      <c r="I50" s="7" t="s">
        <v>97</v>
      </c>
    </row>
    <row r="51" spans="1:9" ht="23.85" customHeight="1" x14ac:dyDescent="0.3">
      <c r="A51" s="6" t="s">
        <v>37</v>
      </c>
      <c r="B51" s="6" t="s">
        <v>93</v>
      </c>
      <c r="C51" s="6" t="s">
        <v>94</v>
      </c>
      <c r="D51" s="6" t="s">
        <v>95</v>
      </c>
      <c r="E51" s="6" t="s">
        <v>90</v>
      </c>
      <c r="F51" s="6" t="s">
        <v>170</v>
      </c>
      <c r="G51" s="7" t="s">
        <v>130</v>
      </c>
      <c r="H51" s="7" t="s">
        <v>125</v>
      </c>
      <c r="I51" s="7" t="s">
        <v>171</v>
      </c>
    </row>
    <row r="52" spans="1:9" ht="23.85" customHeight="1" x14ac:dyDescent="0.3">
      <c r="A52" s="6" t="s">
        <v>37</v>
      </c>
      <c r="B52" s="6" t="s">
        <v>98</v>
      </c>
      <c r="C52" s="6" t="s">
        <v>99</v>
      </c>
      <c r="D52" s="6" t="s">
        <v>100</v>
      </c>
      <c r="E52" s="6" t="s">
        <v>72</v>
      </c>
      <c r="F52" s="6" t="s">
        <v>172</v>
      </c>
      <c r="G52" s="7" t="s">
        <v>67</v>
      </c>
      <c r="H52" s="7"/>
      <c r="I52" s="7" t="s">
        <v>97</v>
      </c>
    </row>
    <row r="53" spans="1:9" ht="23.85" customHeight="1" x14ac:dyDescent="0.3">
      <c r="A53" s="6" t="s">
        <v>37</v>
      </c>
      <c r="B53" s="6" t="s">
        <v>102</v>
      </c>
      <c r="C53" s="6" t="s">
        <v>103</v>
      </c>
      <c r="D53" s="6" t="s">
        <v>71</v>
      </c>
      <c r="E53" s="6" t="s">
        <v>131</v>
      </c>
      <c r="F53" s="6" t="s">
        <v>173</v>
      </c>
      <c r="G53" s="7" t="s">
        <v>67</v>
      </c>
      <c r="H53" s="7"/>
      <c r="I53" s="7" t="s">
        <v>97</v>
      </c>
    </row>
    <row r="54" spans="1:9" ht="35.1" customHeight="1" x14ac:dyDescent="0.3">
      <c r="A54" s="6" t="s">
        <v>37</v>
      </c>
      <c r="B54" s="6" t="s">
        <v>105</v>
      </c>
      <c r="C54" s="6" t="s">
        <v>106</v>
      </c>
      <c r="D54" s="6" t="s">
        <v>107</v>
      </c>
      <c r="E54" s="6" t="s">
        <v>108</v>
      </c>
      <c r="F54" s="6" t="s">
        <v>174</v>
      </c>
      <c r="G54" s="7" t="s">
        <v>130</v>
      </c>
      <c r="H54" s="7" t="s">
        <v>108</v>
      </c>
      <c r="I54" s="7" t="s">
        <v>175</v>
      </c>
    </row>
    <row r="55" spans="1:9" ht="35.1" customHeight="1" x14ac:dyDescent="0.3">
      <c r="A55" s="6" t="s">
        <v>37</v>
      </c>
      <c r="B55" s="6" t="s">
        <v>110</v>
      </c>
      <c r="C55" s="6" t="s">
        <v>111</v>
      </c>
      <c r="D55" s="6" t="s">
        <v>100</v>
      </c>
      <c r="E55" s="6" t="s">
        <v>72</v>
      </c>
      <c r="F55" s="6" t="s">
        <v>176</v>
      </c>
      <c r="G55" s="7" t="s">
        <v>67</v>
      </c>
      <c r="H55" s="7"/>
      <c r="I55" s="7" t="s">
        <v>97</v>
      </c>
    </row>
    <row r="56" spans="1:9" ht="46.2" customHeight="1" x14ac:dyDescent="0.3">
      <c r="A56" s="6" t="s">
        <v>37</v>
      </c>
      <c r="B56" s="6" t="s">
        <v>113</v>
      </c>
      <c r="C56" s="6" t="s">
        <v>114</v>
      </c>
      <c r="D56" s="6" t="s">
        <v>100</v>
      </c>
      <c r="E56" s="6" t="s">
        <v>131</v>
      </c>
      <c r="F56" s="6" t="s">
        <v>177</v>
      </c>
      <c r="G56" s="7" t="s">
        <v>67</v>
      </c>
      <c r="H56" s="7"/>
      <c r="I56" s="7" t="s">
        <v>97</v>
      </c>
    </row>
    <row r="57" spans="1:9" ht="35.1" customHeight="1" x14ac:dyDescent="0.3">
      <c r="A57" s="6" t="s">
        <v>41</v>
      </c>
      <c r="B57" s="6" t="s">
        <v>62</v>
      </c>
      <c r="C57" s="6" t="s">
        <v>63</v>
      </c>
      <c r="D57" s="6" t="s">
        <v>64</v>
      </c>
      <c r="E57" s="6" t="s">
        <v>65</v>
      </c>
      <c r="F57" s="6" t="s">
        <v>178</v>
      </c>
      <c r="G57" s="7" t="s">
        <v>130</v>
      </c>
      <c r="H57" s="7" t="s">
        <v>78</v>
      </c>
      <c r="I57" s="7" t="s">
        <v>179</v>
      </c>
    </row>
    <row r="58" spans="1:9" ht="35.1" customHeight="1" x14ac:dyDescent="0.3">
      <c r="A58" s="6" t="s">
        <v>41</v>
      </c>
      <c r="B58" s="6" t="s">
        <v>69</v>
      </c>
      <c r="C58" s="6" t="s">
        <v>70</v>
      </c>
      <c r="D58" s="6" t="s">
        <v>71</v>
      </c>
      <c r="E58" s="6" t="s">
        <v>72</v>
      </c>
      <c r="F58" s="6" t="s">
        <v>180</v>
      </c>
      <c r="G58" s="7" t="s">
        <v>67</v>
      </c>
      <c r="H58" s="7"/>
      <c r="I58" s="7" t="s">
        <v>97</v>
      </c>
    </row>
    <row r="59" spans="1:9" ht="35.1" customHeight="1" x14ac:dyDescent="0.3">
      <c r="A59" s="6" t="s">
        <v>41</v>
      </c>
      <c r="B59" s="6" t="s">
        <v>75</v>
      </c>
      <c r="C59" s="6" t="s">
        <v>76</v>
      </c>
      <c r="D59" s="6" t="s">
        <v>77</v>
      </c>
      <c r="E59" s="6" t="s">
        <v>78</v>
      </c>
      <c r="F59" s="6" t="s">
        <v>181</v>
      </c>
      <c r="G59" s="7" t="s">
        <v>67</v>
      </c>
      <c r="H59" s="7"/>
      <c r="I59" s="7" t="s">
        <v>97</v>
      </c>
    </row>
    <row r="60" spans="1:9" ht="23.85" customHeight="1" x14ac:dyDescent="0.3">
      <c r="A60" s="6" t="s">
        <v>41</v>
      </c>
      <c r="B60" s="6" t="s">
        <v>81</v>
      </c>
      <c r="C60" s="6" t="s">
        <v>82</v>
      </c>
      <c r="D60" s="6" t="s">
        <v>83</v>
      </c>
      <c r="E60" s="6" t="s">
        <v>120</v>
      </c>
      <c r="F60" s="6" t="s">
        <v>182</v>
      </c>
      <c r="G60" s="7" t="s">
        <v>67</v>
      </c>
      <c r="H60" s="7"/>
      <c r="I60" s="7" t="s">
        <v>97</v>
      </c>
    </row>
    <row r="61" spans="1:9" ht="23.85" customHeight="1" x14ac:dyDescent="0.3">
      <c r="A61" s="6" t="s">
        <v>41</v>
      </c>
      <c r="B61" s="6" t="s">
        <v>87</v>
      </c>
      <c r="C61" s="6" t="s">
        <v>88</v>
      </c>
      <c r="D61" s="6" t="s">
        <v>89</v>
      </c>
      <c r="E61" s="6" t="s">
        <v>145</v>
      </c>
      <c r="F61" s="6" t="s">
        <v>183</v>
      </c>
      <c r="G61" s="7" t="s">
        <v>67</v>
      </c>
      <c r="H61" s="7"/>
      <c r="I61" s="7" t="s">
        <v>97</v>
      </c>
    </row>
    <row r="62" spans="1:9" ht="35.1" customHeight="1" x14ac:dyDescent="0.3">
      <c r="A62" s="6" t="s">
        <v>41</v>
      </c>
      <c r="B62" s="6" t="s">
        <v>93</v>
      </c>
      <c r="C62" s="6" t="s">
        <v>94</v>
      </c>
      <c r="D62" s="6" t="s">
        <v>95</v>
      </c>
      <c r="E62" s="6" t="s">
        <v>125</v>
      </c>
      <c r="F62" s="6" t="s">
        <v>184</v>
      </c>
      <c r="G62" s="7" t="s">
        <v>67</v>
      </c>
      <c r="H62" s="7"/>
      <c r="I62" s="7" t="s">
        <v>97</v>
      </c>
    </row>
    <row r="63" spans="1:9" ht="23.85" customHeight="1" x14ac:dyDescent="0.3">
      <c r="A63" s="6" t="s">
        <v>41</v>
      </c>
      <c r="B63" s="6" t="s">
        <v>98</v>
      </c>
      <c r="C63" s="6" t="s">
        <v>99</v>
      </c>
      <c r="D63" s="6" t="s">
        <v>100</v>
      </c>
      <c r="E63" s="6" t="s">
        <v>72</v>
      </c>
      <c r="F63" s="6" t="s">
        <v>185</v>
      </c>
      <c r="G63" s="7" t="s">
        <v>67</v>
      </c>
      <c r="H63" s="7"/>
      <c r="I63" s="7" t="s">
        <v>97</v>
      </c>
    </row>
    <row r="64" spans="1:9" ht="23.85" customHeight="1" x14ac:dyDescent="0.3">
      <c r="A64" s="6" t="s">
        <v>41</v>
      </c>
      <c r="B64" s="6" t="s">
        <v>102</v>
      </c>
      <c r="C64" s="6" t="s">
        <v>103</v>
      </c>
      <c r="D64" s="6" t="s">
        <v>71</v>
      </c>
      <c r="E64" s="6" t="s">
        <v>131</v>
      </c>
      <c r="F64" s="6" t="s">
        <v>186</v>
      </c>
      <c r="G64" s="7" t="s">
        <v>67</v>
      </c>
      <c r="H64" s="7"/>
      <c r="I64" s="7" t="s">
        <v>97</v>
      </c>
    </row>
    <row r="65" spans="1:9" ht="35.1" customHeight="1" x14ac:dyDescent="0.3">
      <c r="A65" s="6" t="s">
        <v>41</v>
      </c>
      <c r="B65" s="6" t="s">
        <v>105</v>
      </c>
      <c r="C65" s="6" t="s">
        <v>106</v>
      </c>
      <c r="D65" s="6" t="s">
        <v>107</v>
      </c>
      <c r="E65" s="6" t="s">
        <v>187</v>
      </c>
      <c r="F65" s="6" t="s">
        <v>188</v>
      </c>
      <c r="G65" s="7" t="s">
        <v>67</v>
      </c>
      <c r="H65" s="7"/>
      <c r="I65" s="7" t="s">
        <v>189</v>
      </c>
    </row>
    <row r="66" spans="1:9" ht="35.1" customHeight="1" x14ac:dyDescent="0.3">
      <c r="A66" s="6" t="s">
        <v>41</v>
      </c>
      <c r="B66" s="6" t="s">
        <v>110</v>
      </c>
      <c r="C66" s="6" t="s">
        <v>111</v>
      </c>
      <c r="D66" s="6" t="s">
        <v>100</v>
      </c>
      <c r="E66" s="6" t="s">
        <v>131</v>
      </c>
      <c r="F66" s="6" t="s">
        <v>190</v>
      </c>
      <c r="G66" s="7" t="s">
        <v>67</v>
      </c>
      <c r="H66" s="7"/>
      <c r="I66" s="7" t="s">
        <v>97</v>
      </c>
    </row>
    <row r="67" spans="1:9" ht="23.85" customHeight="1" x14ac:dyDescent="0.3">
      <c r="A67" s="6" t="s">
        <v>41</v>
      </c>
      <c r="B67" s="6" t="s">
        <v>113</v>
      </c>
      <c r="C67" s="6" t="s">
        <v>114</v>
      </c>
      <c r="D67" s="6" t="s">
        <v>100</v>
      </c>
      <c r="E67" s="6" t="s">
        <v>72</v>
      </c>
      <c r="F67" s="6" t="s">
        <v>191</v>
      </c>
      <c r="G67" s="7" t="s">
        <v>67</v>
      </c>
      <c r="H67" s="7"/>
      <c r="I67" s="7" t="s">
        <v>97</v>
      </c>
    </row>
    <row r="68" spans="1:9" ht="23.85" customHeight="1" x14ac:dyDescent="0.3">
      <c r="A68" s="6" t="s">
        <v>45</v>
      </c>
      <c r="B68" s="6" t="s">
        <v>62</v>
      </c>
      <c r="C68" s="6" t="s">
        <v>63</v>
      </c>
      <c r="D68" s="6" t="s">
        <v>64</v>
      </c>
      <c r="E68" s="6" t="s">
        <v>78</v>
      </c>
      <c r="F68" s="6" t="s">
        <v>192</v>
      </c>
      <c r="G68" s="7" t="s">
        <v>67</v>
      </c>
      <c r="H68" s="7"/>
      <c r="I68" s="7" t="s">
        <v>97</v>
      </c>
    </row>
    <row r="69" spans="1:9" ht="35.1" customHeight="1" x14ac:dyDescent="0.3">
      <c r="A69" s="6" t="s">
        <v>45</v>
      </c>
      <c r="B69" s="6" t="s">
        <v>69</v>
      </c>
      <c r="C69" s="6" t="s">
        <v>70</v>
      </c>
      <c r="D69" s="6" t="s">
        <v>71</v>
      </c>
      <c r="E69" s="6" t="s">
        <v>140</v>
      </c>
      <c r="F69" s="6" t="s">
        <v>193</v>
      </c>
      <c r="G69" s="7" t="s">
        <v>67</v>
      </c>
      <c r="H69" s="7"/>
      <c r="I69" s="7" t="s">
        <v>97</v>
      </c>
    </row>
    <row r="70" spans="1:9" ht="35.1" customHeight="1" x14ac:dyDescent="0.3">
      <c r="A70" s="6" t="s">
        <v>45</v>
      </c>
      <c r="B70" s="6" t="s">
        <v>75</v>
      </c>
      <c r="C70" s="6" t="s">
        <v>76</v>
      </c>
      <c r="D70" s="6" t="s">
        <v>77</v>
      </c>
      <c r="E70" s="6" t="s">
        <v>78</v>
      </c>
      <c r="F70" s="6" t="s">
        <v>194</v>
      </c>
      <c r="G70" s="7" t="s">
        <v>67</v>
      </c>
      <c r="H70" s="7"/>
      <c r="I70" s="7" t="s">
        <v>97</v>
      </c>
    </row>
    <row r="71" spans="1:9" ht="35.1" customHeight="1" x14ac:dyDescent="0.3">
      <c r="A71" s="6" t="s">
        <v>45</v>
      </c>
      <c r="B71" s="6" t="s">
        <v>81</v>
      </c>
      <c r="C71" s="6" t="s">
        <v>82</v>
      </c>
      <c r="D71" s="6" t="s">
        <v>83</v>
      </c>
      <c r="E71" s="6" t="s">
        <v>156</v>
      </c>
      <c r="F71" s="6" t="s">
        <v>195</v>
      </c>
      <c r="G71" s="7" t="s">
        <v>67</v>
      </c>
      <c r="H71" s="7"/>
      <c r="I71" s="7" t="s">
        <v>97</v>
      </c>
    </row>
    <row r="72" spans="1:9" ht="23.85" customHeight="1" x14ac:dyDescent="0.3">
      <c r="A72" s="6" t="s">
        <v>45</v>
      </c>
      <c r="B72" s="6" t="s">
        <v>87</v>
      </c>
      <c r="C72" s="6" t="s">
        <v>88</v>
      </c>
      <c r="D72" s="6" t="s">
        <v>89</v>
      </c>
      <c r="E72" s="6" t="s">
        <v>145</v>
      </c>
      <c r="F72" s="6" t="s">
        <v>196</v>
      </c>
      <c r="G72" s="7" t="s">
        <v>67</v>
      </c>
      <c r="H72" s="7"/>
      <c r="I72" s="7" t="s">
        <v>97</v>
      </c>
    </row>
    <row r="73" spans="1:9" ht="35.1" customHeight="1" x14ac:dyDescent="0.3">
      <c r="A73" s="6" t="s">
        <v>45</v>
      </c>
      <c r="B73" s="6" t="s">
        <v>93</v>
      </c>
      <c r="C73" s="6" t="s">
        <v>94</v>
      </c>
      <c r="D73" s="6" t="s">
        <v>95</v>
      </c>
      <c r="E73" s="6" t="s">
        <v>125</v>
      </c>
      <c r="F73" s="6" t="s">
        <v>197</v>
      </c>
      <c r="G73" s="7" t="s">
        <v>67</v>
      </c>
      <c r="H73" s="7"/>
      <c r="I73" s="7" t="s">
        <v>97</v>
      </c>
    </row>
    <row r="74" spans="1:9" ht="23.85" customHeight="1" x14ac:dyDescent="0.3">
      <c r="A74" s="6" t="s">
        <v>45</v>
      </c>
      <c r="B74" s="6" t="s">
        <v>98</v>
      </c>
      <c r="C74" s="6" t="s">
        <v>99</v>
      </c>
      <c r="D74" s="6" t="s">
        <v>100</v>
      </c>
      <c r="E74" s="6" t="s">
        <v>72</v>
      </c>
      <c r="F74" s="6" t="s">
        <v>198</v>
      </c>
      <c r="G74" s="7" t="s">
        <v>67</v>
      </c>
      <c r="H74" s="7"/>
      <c r="I74" s="7" t="s">
        <v>97</v>
      </c>
    </row>
    <row r="75" spans="1:9" ht="23.85" customHeight="1" x14ac:dyDescent="0.3">
      <c r="A75" s="6" t="s">
        <v>45</v>
      </c>
      <c r="B75" s="6" t="s">
        <v>102</v>
      </c>
      <c r="C75" s="6" t="s">
        <v>103</v>
      </c>
      <c r="D75" s="6" t="s">
        <v>71</v>
      </c>
      <c r="E75" s="6" t="s">
        <v>140</v>
      </c>
      <c r="F75" s="6" t="s">
        <v>199</v>
      </c>
      <c r="G75" s="7" t="s">
        <v>67</v>
      </c>
      <c r="H75" s="7"/>
      <c r="I75" s="7" t="s">
        <v>97</v>
      </c>
    </row>
    <row r="76" spans="1:9" ht="35.1" customHeight="1" x14ac:dyDescent="0.3">
      <c r="A76" s="6" t="s">
        <v>45</v>
      </c>
      <c r="B76" s="6" t="s">
        <v>105</v>
      </c>
      <c r="C76" s="6" t="s">
        <v>106</v>
      </c>
      <c r="D76" s="6" t="s">
        <v>107</v>
      </c>
      <c r="E76" s="6" t="s">
        <v>108</v>
      </c>
      <c r="F76" s="6" t="s">
        <v>200</v>
      </c>
      <c r="G76" s="7" t="s">
        <v>67</v>
      </c>
      <c r="H76" s="7"/>
      <c r="I76" s="7" t="s">
        <v>97</v>
      </c>
    </row>
    <row r="77" spans="1:9" ht="35.1" customHeight="1" x14ac:dyDescent="0.3">
      <c r="A77" s="6" t="s">
        <v>45</v>
      </c>
      <c r="B77" s="6" t="s">
        <v>110</v>
      </c>
      <c r="C77" s="6" t="s">
        <v>111</v>
      </c>
      <c r="D77" s="6" t="s">
        <v>100</v>
      </c>
      <c r="E77" s="6" t="s">
        <v>72</v>
      </c>
      <c r="F77" s="6" t="s">
        <v>201</v>
      </c>
      <c r="G77" s="7" t="s">
        <v>67</v>
      </c>
      <c r="H77" s="7"/>
      <c r="I77" s="7" t="s">
        <v>97</v>
      </c>
    </row>
    <row r="78" spans="1:9" ht="15" customHeight="1" x14ac:dyDescent="0.3">
      <c r="A78" s="6" t="s">
        <v>45</v>
      </c>
      <c r="B78" s="6" t="s">
        <v>113</v>
      </c>
      <c r="C78" s="6" t="s">
        <v>114</v>
      </c>
      <c r="D78" s="6" t="s">
        <v>100</v>
      </c>
      <c r="E78" s="6" t="s">
        <v>72</v>
      </c>
      <c r="F78" s="6" t="s">
        <v>202</v>
      </c>
      <c r="G78" s="7" t="s">
        <v>67</v>
      </c>
      <c r="H78" s="7"/>
      <c r="I78" s="7" t="s">
        <v>97</v>
      </c>
    </row>
    <row r="79" spans="1:9" ht="23.85" customHeight="1" x14ac:dyDescent="0.3">
      <c r="A79" s="6" t="s">
        <v>49</v>
      </c>
      <c r="B79" s="6" t="s">
        <v>62</v>
      </c>
      <c r="C79" s="6" t="s">
        <v>63</v>
      </c>
      <c r="D79" s="6" t="s">
        <v>64</v>
      </c>
      <c r="E79" s="6" t="s">
        <v>78</v>
      </c>
      <c r="F79" s="6" t="s">
        <v>203</v>
      </c>
      <c r="G79" s="7" t="s">
        <v>67</v>
      </c>
      <c r="H79" s="7"/>
      <c r="I79" s="7" t="s">
        <v>97</v>
      </c>
    </row>
    <row r="80" spans="1:9" ht="35.1" customHeight="1" x14ac:dyDescent="0.3">
      <c r="A80" s="6" t="s">
        <v>49</v>
      </c>
      <c r="B80" s="6" t="s">
        <v>69</v>
      </c>
      <c r="C80" s="6" t="s">
        <v>70</v>
      </c>
      <c r="D80" s="6" t="s">
        <v>71</v>
      </c>
      <c r="E80" s="6" t="s">
        <v>140</v>
      </c>
      <c r="F80" s="6" t="s">
        <v>204</v>
      </c>
      <c r="G80" s="7" t="s">
        <v>67</v>
      </c>
      <c r="H80" s="7"/>
      <c r="I80" s="7" t="s">
        <v>97</v>
      </c>
    </row>
    <row r="81" spans="1:9" ht="35.1" customHeight="1" x14ac:dyDescent="0.3">
      <c r="A81" s="6" t="s">
        <v>49</v>
      </c>
      <c r="B81" s="6" t="s">
        <v>75</v>
      </c>
      <c r="C81" s="6" t="s">
        <v>76</v>
      </c>
      <c r="D81" s="6" t="s">
        <v>77</v>
      </c>
      <c r="E81" s="6" t="s">
        <v>78</v>
      </c>
      <c r="F81" s="6" t="s">
        <v>205</v>
      </c>
      <c r="G81" s="7" t="s">
        <v>67</v>
      </c>
      <c r="H81" s="7"/>
      <c r="I81" s="7" t="s">
        <v>97</v>
      </c>
    </row>
    <row r="82" spans="1:9" ht="23.85" customHeight="1" x14ac:dyDescent="0.3">
      <c r="A82" s="6" t="s">
        <v>49</v>
      </c>
      <c r="B82" s="6" t="s">
        <v>81</v>
      </c>
      <c r="C82" s="6" t="s">
        <v>82</v>
      </c>
      <c r="D82" s="6" t="s">
        <v>83</v>
      </c>
      <c r="E82" s="6" t="s">
        <v>156</v>
      </c>
      <c r="F82" s="6" t="s">
        <v>206</v>
      </c>
      <c r="G82" s="7" t="s">
        <v>67</v>
      </c>
      <c r="H82" s="7"/>
      <c r="I82" s="7" t="s">
        <v>97</v>
      </c>
    </row>
    <row r="83" spans="1:9" ht="35.1" customHeight="1" x14ac:dyDescent="0.3">
      <c r="A83" s="6" t="s">
        <v>49</v>
      </c>
      <c r="B83" s="6" t="s">
        <v>87</v>
      </c>
      <c r="C83" s="6" t="s">
        <v>88</v>
      </c>
      <c r="D83" s="6" t="s">
        <v>89</v>
      </c>
      <c r="E83" s="6" t="s">
        <v>122</v>
      </c>
      <c r="F83" s="6" t="s">
        <v>207</v>
      </c>
      <c r="G83" s="7" t="s">
        <v>67</v>
      </c>
      <c r="H83" s="7"/>
      <c r="I83" s="7" t="s">
        <v>97</v>
      </c>
    </row>
    <row r="84" spans="1:9" ht="35.1" customHeight="1" x14ac:dyDescent="0.3">
      <c r="A84" s="6" t="s">
        <v>49</v>
      </c>
      <c r="B84" s="6" t="s">
        <v>93</v>
      </c>
      <c r="C84" s="6" t="s">
        <v>94</v>
      </c>
      <c r="D84" s="6" t="s">
        <v>95</v>
      </c>
      <c r="E84" s="6" t="s">
        <v>125</v>
      </c>
      <c r="F84" s="6" t="s">
        <v>208</v>
      </c>
      <c r="G84" s="7" t="s">
        <v>67</v>
      </c>
      <c r="H84" s="7"/>
      <c r="I84" s="7" t="s">
        <v>97</v>
      </c>
    </row>
    <row r="85" spans="1:9" ht="23.85" customHeight="1" x14ac:dyDescent="0.3">
      <c r="A85" s="6" t="s">
        <v>49</v>
      </c>
      <c r="B85" s="6" t="s">
        <v>98</v>
      </c>
      <c r="C85" s="6" t="s">
        <v>99</v>
      </c>
      <c r="D85" s="6" t="s">
        <v>100</v>
      </c>
      <c r="E85" s="6" t="s">
        <v>72</v>
      </c>
      <c r="F85" s="6" t="s">
        <v>209</v>
      </c>
      <c r="G85" s="7" t="s">
        <v>67</v>
      </c>
      <c r="H85" s="7"/>
      <c r="I85" s="7" t="s">
        <v>97</v>
      </c>
    </row>
    <row r="86" spans="1:9" ht="23.85" customHeight="1" x14ac:dyDescent="0.3">
      <c r="A86" s="6" t="s">
        <v>49</v>
      </c>
      <c r="B86" s="6" t="s">
        <v>102</v>
      </c>
      <c r="C86" s="6" t="s">
        <v>103</v>
      </c>
      <c r="D86" s="6" t="s">
        <v>71</v>
      </c>
      <c r="E86" s="6" t="s">
        <v>140</v>
      </c>
      <c r="F86" s="6" t="s">
        <v>210</v>
      </c>
      <c r="G86" s="7" t="s">
        <v>67</v>
      </c>
      <c r="H86" s="7"/>
      <c r="I86" s="7" t="s">
        <v>97</v>
      </c>
    </row>
    <row r="87" spans="1:9" ht="35.1" customHeight="1" x14ac:dyDescent="0.3">
      <c r="A87" s="6" t="s">
        <v>49</v>
      </c>
      <c r="B87" s="6" t="s">
        <v>105</v>
      </c>
      <c r="C87" s="6" t="s">
        <v>106</v>
      </c>
      <c r="D87" s="6" t="s">
        <v>107</v>
      </c>
      <c r="E87" s="6" t="s">
        <v>187</v>
      </c>
      <c r="F87" s="6" t="s">
        <v>211</v>
      </c>
      <c r="G87" s="7" t="s">
        <v>67</v>
      </c>
      <c r="H87" s="7"/>
      <c r="I87" s="7" t="s">
        <v>97</v>
      </c>
    </row>
    <row r="88" spans="1:9" ht="35.1" customHeight="1" x14ac:dyDescent="0.3">
      <c r="A88" s="6" t="s">
        <v>49</v>
      </c>
      <c r="B88" s="6" t="s">
        <v>110</v>
      </c>
      <c r="C88" s="6" t="s">
        <v>111</v>
      </c>
      <c r="D88" s="6" t="s">
        <v>100</v>
      </c>
      <c r="E88" s="6" t="s">
        <v>72</v>
      </c>
      <c r="F88" s="6" t="s">
        <v>212</v>
      </c>
      <c r="G88" s="7" t="s">
        <v>67</v>
      </c>
      <c r="H88" s="7"/>
      <c r="I88" s="7" t="s">
        <v>97</v>
      </c>
    </row>
    <row r="89" spans="1:9" ht="15" customHeight="1" x14ac:dyDescent="0.3">
      <c r="A89" s="6" t="s">
        <v>49</v>
      </c>
      <c r="B89" s="6" t="s">
        <v>113</v>
      </c>
      <c r="C89" s="6" t="s">
        <v>114</v>
      </c>
      <c r="D89" s="6" t="s">
        <v>100</v>
      </c>
      <c r="E89" s="6" t="s">
        <v>72</v>
      </c>
      <c r="F89" s="6" t="s">
        <v>213</v>
      </c>
      <c r="G89" s="7" t="s">
        <v>67</v>
      </c>
      <c r="H89" s="7"/>
      <c r="I89" s="7" t="s">
        <v>97</v>
      </c>
    </row>
    <row r="91" spans="1:9" ht="15" customHeight="1" x14ac:dyDescent="0.3">
      <c r="A91" s="8" t="s">
        <v>214</v>
      </c>
    </row>
    <row r="93" spans="1:9" ht="15" customHeight="1" x14ac:dyDescent="0.3">
      <c r="F93" s="9" t="s">
        <v>215</v>
      </c>
      <c r="G93">
        <f>COUNTA(G2:G89)</f>
        <v>88</v>
      </c>
    </row>
    <row r="94" spans="1:9" ht="15" customHeight="1" x14ac:dyDescent="0.3">
      <c r="F94" s="10" t="s">
        <v>67</v>
      </c>
      <c r="G94">
        <f>COUNTIF(G2:G89,"Correct")</f>
        <v>84</v>
      </c>
    </row>
    <row r="95" spans="1:9" ht="15" customHeight="1" x14ac:dyDescent="0.3">
      <c r="F95" s="10" t="s">
        <v>130</v>
      </c>
      <c r="G95">
        <f>COUNTIF(G2:G89,"Wrong")</f>
        <v>4</v>
      </c>
    </row>
    <row r="96" spans="1:9" ht="15" customHeight="1" x14ac:dyDescent="0.3">
      <c r="F96" s="10" t="s">
        <v>216</v>
      </c>
      <c r="G96">
        <f>COUNTIF(G2:G89,"Not found")</f>
        <v>0</v>
      </c>
    </row>
  </sheetData>
  <dataValidations count="1">
    <dataValidation type="list" allowBlank="1" sqref="G2:G89" xr:uid="{00000000-0002-0000-0200-000000000000}">
      <formula1>"Correct,Wrong,Not found"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Papers</vt:lpstr>
      <vt:lpstr>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HEMN_KHEZRI</cp:lastModifiedBy>
  <cp:revision>0</cp:revision>
  <dcterms:created xsi:type="dcterms:W3CDTF">2026-10-01T08:17:29Z</dcterms:created>
  <dcterms:modified xsi:type="dcterms:W3CDTF">2026-10-04T16:47:54Z</dcterms:modified>
  <dc:language>en-US</dc:language>
</cp:coreProperties>
</file>